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ED7FF220-D86E-46C0-A838-220DDD4DF057}" xr6:coauthVersionLast="47" xr6:coauthVersionMax="47" xr10:uidLastSave="{00000000-0000-0000-0000-000000000000}"/>
  <bookViews>
    <workbookView xWindow="-120" yWindow="-120" windowWidth="29040" windowHeight="15840" activeTab="1" xr2:uid="{128C8000-C1E4-40B1-8CEB-5EA6C0295D64}"/>
  </bookViews>
  <sheets>
    <sheet name="Personnes" sheetId="1" r:id="rId1"/>
    <sheet name="Articles" sheetId="2" r:id="rId2"/>
    <sheet name="Relations" sheetId="3" r:id="rId3"/>
    <sheet name="Debunk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9" i="2" l="1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<sst xmlns="http://schemas.openxmlformats.org/spreadsheetml/2006/main" count="844" uniqueCount="827">
  <si>
    <t>ID</t>
  </si>
  <si>
    <t>Nom</t>
  </si>
  <si>
    <t>Fonction</t>
  </si>
  <si>
    <t>Section</t>
  </si>
  <si>
    <t>Photo_URL</t>
  </si>
  <si>
    <t>Bio</t>
  </si>
  <si>
    <t>Amirkhizy Melissa</t>
  </si>
  <si>
    <t>Contribution Externe</t>
  </si>
  <si>
    <t>Titre</t>
  </si>
  <si>
    <t>Auteur_ID</t>
  </si>
  <si>
    <t>Date</t>
  </si>
  <si>
    <t>URL</t>
  </si>
  <si>
    <t>Description</t>
  </si>
  <si>
    <t>Personne1_ID</t>
  </si>
  <si>
    <t>Personne2_ID</t>
  </si>
  <si>
    <t>Type</t>
  </si>
  <si>
    <t>Rédaction</t>
  </si>
  <si>
    <t>Opinion</t>
  </si>
  <si>
    <t>Marcela Gori</t>
  </si>
  <si>
    <t>https://scontent-bru2-1.xx.fbcdn.net/v/t39.30808-6/613195471_24638308565845107_842769831722255804_n.jpg?_nc_cat=107&amp;ccb=1-7&amp;_nc_sid=6ee11a&amp;_nc_ohc=TXZiSd32NvoQ7kNvwEsWOAh&amp;_nc_oc=AdmhzNKN9FTGkvHRgT1KdhlVpWbeRQx-sZsPDGhxL99bAlUeWXLXhvrcMRL6N_-bLfM&amp;_nc_zt=23&amp;_nc_ht=scontent-bru2-1.xx&amp;_nc_gid=tVQO7waff5dCc65OiEYW_A&amp;oh=00_AfqYaOgfIvgKMOAHkocGIT5GA5fYroE7z8RThkUMfzpQhA&amp;oe=6976B443</t>
  </si>
  <si>
    <t>https://scontent-bru2-1.xx.fbcdn.net/v/t39.30808-6/527713122_24156027730685525_1543359397804974350_n.jpg?_nc_cat=102&amp;ccb=1-7&amp;_nc_sid=6ee11a&amp;_nc_ohc=i2HYOpvhJVAQ7kNvwFrLIGj&amp;_nc_oc=AdnTXnYlLfk0dV9tcDBcT9WCpj3hN_rdNNaNsK8lTYUdOj96ZdxbXb9iu46qj2Vi4R8&amp;_nc_zt=23&amp;_nc_ht=scontent-bru2-1.xx&amp;_nc_gid=Io1KHGe8e1HECd4zwAmqRg&amp;oh=00_AfoP_qGc-lQ27gaEgiiY5fcPWCYobaFcNCYUuOHOR0arzA&amp;oe=6976DCED</t>
  </si>
  <si>
    <t>Compte de la rédaction de 21News</t>
  </si>
  <si>
    <t>Présidente de AC @MR , Vice Présidente @MR Ganshoren , Conseillère communale de Ganshoren</t>
  </si>
  <si>
    <t>Daniel Rodenstein</t>
  </si>
  <si>
    <t>https://archives.uclouvain.be/histoire-medecine/files/fullsize/a813a12df52949ffdc14a05d80eee2d1.jpg</t>
  </si>
  <si>
    <t xml:space="preserve">Membre de l'Institut Jonathas
</t>
  </si>
  <si>
    <t>Bruxelles</t>
  </si>
  <si>
    <t>Article_ID</t>
  </si>
  <si>
    <t>Article_Debunk_ID</t>
  </si>
  <si>
    <t>https://www.21news.be/progressisme-et-deconstruction-les-racines-ideologiques-du-mal-etre-contemporain/</t>
  </si>
  <si>
    <t>https://external-content.duckduckgo.com/iu/?u=https%3A%2F%2Fspgeng.rosselcdn.net%2Fsites%2Fdefault%2Ffiles%2Fdpistyles_v2%2Fsp_664w%2F2024%2F11%2F04%2Fnode_909398%2F56011785%2Fpublic%2F2024%2F11%2F04%2F28954395.jpeg%3Fitok%3DGpdj9j4M1730755677&amp;f=1&amp;nofb=1&amp;ipt=d2c998c381c38d5dae7bbfc2a735986503af41ff1e5130752ddc0c170d6632d7</t>
  </si>
  <si>
    <t>Élue MR à Anderlecht, néo-libérale</t>
  </si>
  <si>
    <t>MR</t>
  </si>
  <si>
    <t>Harisson du Bus</t>
  </si>
  <si>
    <t>https://www.21news.be/wp-content/uploads/2026/01/cropped-Harrison-du-Bus-100x100.jpg</t>
  </si>
  <si>
    <t>Journaliste</t>
  </si>
  <si>
    <t>https://www.21news.be/simon-schama-met-en-garde-contre-lusage-du-mot-genocide-dans-le-debat-sur-israel/</t>
  </si>
  <si>
    <t>Simon Schama met en garde contre l’usage du mot « génocide » dans le débat sur Israël</t>
  </si>
  <si>
    <t>https://www.21news.be/la-metamorphose-de-la-palestine-opinion/</t>
  </si>
  <si>
    <t>La métamorphose de la Palestine (opinion)</t>
  </si>
  <si>
    <t>https://www.21news.be/la-difference-entre-unia-et-unia-deux-poids-deux-mesures-carte-blanche/</t>
  </si>
  <si>
    <t>Demetrio Scagliola</t>
  </si>
  <si>
    <t>https://scontent-bru2-1.xx.fbcdn.net/v/t39.30808-6/420391281_10161611238815742_5085160447608714690_n.jpg?_nc_cat=110&amp;ccb=1-7&amp;_nc_sid=6ee11a&amp;_nc_ohc=KiVsGBMwCb8Q7kNvwGu-y6P&amp;_nc_oc=AdmLGKrfitVFybsh7mtvIL1eiVUcmADKvRos_1B45PQmFmSbn4CTAMKs5vdIIDQXdDI&amp;_nc_zt=23&amp;_nc_ht=scontent-bru2-1.xx&amp;_nc_gid=HEEMiDw4-KHQhp_lwvWwpA&amp;oh=00_AfoebfEwTCFR83oo3rHihgYJnaLvhD9ceFIXjZBCPORRxg&amp;oe=698108BB</t>
  </si>
  <si>
    <t xml:space="preserve">Journaliste, auteur du livre "Poussière de cristal – Honni soit qui mal y pense" où il est question de la décadence de la France et de l'Europe. 
</t>
  </si>
  <si>
    <t>Journaliste indépendant, chroniqueur RTBF (Vivacité, La Une), ex-rédacteur en chef Sudinfo, 7dimanche</t>
  </si>
  <si>
    <t>Membre du Mouvement Réformateur à Bruxelles</t>
  </si>
  <si>
    <t>ITW</t>
  </si>
  <si>
    <t>La rédaction a interviewé Amirkhizy</t>
  </si>
  <si>
    <t>Précision</t>
  </si>
  <si>
    <t>Stéphane Gurbuz</t>
  </si>
  <si>
    <t>Eric Muraille</t>
  </si>
  <si>
    <t>Nicolas de Pape</t>
  </si>
  <si>
    <t>Alain Schenkels</t>
  </si>
  <si>
    <t>Alain Destexhe</t>
  </si>
  <si>
    <t>Belgique</t>
  </si>
  <si>
    <t>https://rrb.be/rrb/wp-content/uploads/2025/12/pres.png</t>
  </si>
  <si>
    <t xml:space="preserve">Politicien </t>
  </si>
  <si>
    <t>De Khomeini à Mamdani : les mêmes mécanismes, un autre décor (Carte blanche)</t>
  </si>
  <si>
    <t>https://www.21news.be/de-khomeini-a-mamdani-les-memes-mecanismes-un-autre-decor-carte-blanche/</t>
  </si>
  <si>
    <t>Naissance et mort du concept de génocide (Carte blanche)</t>
  </si>
  <si>
    <t>https://www.21news.be/naissance-et-mort-du-concept-de-genocide-carte-blanche/</t>
  </si>
  <si>
    <t>Dans notre pays, la violence envers les politiques finira par tuer (Carte blanche)</t>
  </si>
  <si>
    <t>https://www.21news.be/dans-notre-pays-la-violence-envers-les-politiques-finira-par-tuer-carte-blanche/</t>
  </si>
  <si>
    <t>https://www.21news.be/une-region-bruxelloise-au-bord-du-gouffre-merci-20-ans-de-politique-de-gauche-carte-blanche/</t>
  </si>
  <si>
    <t>Une région bruxelloise au bord du gouffre, merci 20 ans de politique de gauche (Carte blanche)</t>
  </si>
  <si>
    <t>La différence entre Unia et Unia : deux poids deux mesures (Carte blanche)</t>
  </si>
  <si>
    <t>Une rectrice « hallucinée » ou comment l’UGent se rend immortellement ridicule (carte blanche)</t>
  </si>
  <si>
    <t>https://www.21news.be/une-rectrice-hallucinee-ou-comment-lugent-se-rend-immortellement-ridicule-carte-blanche/</t>
  </si>
  <si>
    <t>Liberté pour l’immobilier, liberté pour la ville (carte blanche)</t>
  </si>
  <si>
    <t>https://www.21news.be/liberte-pour-limmobilier-liberte-pour-la-ville-carte-blanche/</t>
  </si>
  <si>
    <t>La répression en Iran frappe en priorité étudiants, enseignants, chercheurs, artistes et journalistes (Carte blanche)</t>
  </si>
  <si>
    <t>https://www.21news.be/la-repression-en-iran-frappe-en-priorite-etudiants-enseignants-chercheurs-artistes-et-journalistes-carte-blanche/</t>
  </si>
  <si>
    <t>Annexion du Groenland : une ligne rouge pour l’Europe (Carte blanche)</t>
  </si>
  <si>
    <t>https://www.21news.be/annexion-du-groenland-une-ligne-rouge-pour-leurope-carte-blanche/</t>
  </si>
  <si>
    <t>Trump, le Groenland, l’OTAN, l’Union européenne, le Congrès et la Bourse (carte blanche)</t>
  </si>
  <si>
    <t>https://www.21news.be/trump-le-groenland-lotan-lunion-europeenne-le-congres-et-la-bourse-carte-blanche/</t>
  </si>
  <si>
    <t>Jean-François Gatelier : « Il ne faut pas stigmatiser les malades, mais provoquer une prise de conscience collective »</t>
  </si>
  <si>
    <t>https://www.21news.be/jean-francois-gatelier-il-ne-faut-pas-stigmatiser-les-malades-mais-provoquer-une-prise-de-conscience-collective/</t>
  </si>
  <si>
    <t>Les singuliers rapports entre un humoriste gantois et une partie de chasse à la plage de Bondi (Opinion)</t>
  </si>
  <si>
    <t>https://www.21news.be/les-singuliers-rapports-entre-un-humoriste-gantois-et-une-partie-de-chasse-a-la-plage-de-bondi-opinion/</t>
  </si>
  <si>
    <t>Les Vénézuéliens iront probablement mieux. Mais le monde ? Et l’Europe ? (Carte blanche)</t>
  </si>
  <si>
    <t>https://www.21news.be/les-venezueliens-iront-probablement-mieux-mais-le-monde-et-leurope-carte-blanche/</t>
  </si>
  <si>
    <t>Manifestations en Iran : "Pahlavi reviendra" (carte blanche)</t>
  </si>
  <si>
    <t>https://www.21news.be/manifestations-en-iran-pahlavi-reviendra-carte-blanche/</t>
  </si>
  <si>
    <t>La vérité iranienne que l’Occident refuse de voir (carte blanche)</t>
  </si>
  <si>
    <t>https://www.21news.be/la-verite-iranienne-que-loccident-refuse-de-voir/</t>
  </si>
  <si>
    <t>Cette gauche belge francophone qui se trompe et nous égare (Carte blanche)</t>
  </si>
  <si>
    <t>https://www.21news.be/cette-gauche-belge-francophone-qui-se-trompe-et-nous-egare-carte-blanche/</t>
  </si>
  <si>
    <t>Ceux qui se lèvent (Carte blanche)</t>
  </si>
  <si>
    <t>https://www.21news.be/ceux-qui-se-levent-carte-blanche/</t>
  </si>
  <si>
    <t>En politique, le mercato, c’est toute l’année (carte blanche)</t>
  </si>
  <si>
    <t>https://www.21news.be/en-politique-le-mercato-cest-toute-lannee-carte-blanche/</t>
  </si>
  <si>
    <t>Quand les mollahs changent de couleur (carte blanche)</t>
  </si>
  <si>
    <t>https://www.21news.be/quand-les-mollahs-changent-de-couleur-carte-blanche/</t>
  </si>
  <si>
    <t>Quand le récit l’emporte sur les faits</t>
  </si>
  <si>
    <t>https://www.21news.be/quand-le-recit-lemporte-sur-les-faits/</t>
  </si>
  <si>
    <t>L’ingratitude des repus - Ou comment cultiver la gratitude pour le progrès (Maarten Boudry - Carte blanche)</t>
  </si>
  <si>
    <t>https://www.21news.be/lingratitude-des-repus-ou-comment-cultiver-la-gratitude-pour-le-progres-carte-blanche-de-maarten-boudry/</t>
  </si>
  <si>
    <t>Attentat antisémite de Sydney : L’indignation en carton de la gauche (carte blanche)</t>
  </si>
  <si>
    <t>https://www.21news.be/attentat-antisemite-de-sydney-lindignation-en-carton-de-la-gauche/</t>
  </si>
  <si>
    <t>La fin du chômage illimité: un changement profond à accompagner (carte blanche)</t>
  </si>
  <si>
    <t>https://www.21news.be/la-fin-du-chomage-illimite-un-changement-profond-a-accompagner/</t>
  </si>
  <si>
    <t>Bruxelles, ou le Bal des lâches (Carte blanche)</t>
  </si>
  <si>
    <t>https://www.21news.be/bruxelles-ou-le-bal-des-laches-carte-blanche/</t>
  </si>
  <si>
    <t>Le protectionnisme est loin d'être vaincu en Europe (Carte blanche)</t>
  </si>
  <si>
    <t>https://www.21news.be/le-protectionnisme-est-loin-detre-vaincu-en-europe-carte-blanche/</t>
  </si>
  <si>
    <t>L’attentat islamiste qu’a eu lieu hier à Sydney n’est pas une surprise (Carte blanche)</t>
  </si>
  <si>
    <t>https://www.21news.be/lattentat-islamiste-qua-eu-lieu-hier-a-sydney-nest-pas-une-surprise/</t>
  </si>
  <si>
    <t>Iran : la rue choisit son avenir (Carte blanche)</t>
  </si>
  <si>
    <t>https://www.21news.be/iran-la-rue-choisit-son-avenir-carte-blanche/</t>
  </si>
  <si>
    <t>La diabolisation perpétuelle : quand la gauche qualifie la droite d’extrême, faute d’arguments (Carte blanche)</t>
  </si>
  <si>
    <t>https://www.21news.be/la-diabolisation-perpetuelle-quand-la-gauche-qualifie-la-droite-dextreme-faute-darguments-carte-blanche/</t>
  </si>
  <si>
    <t>Belgique, une démocratie enrayée ? (Chronique)</t>
  </si>
  <si>
    <t>https://www.21news.be/belgique-une-democratie-enrayee/</t>
  </si>
  <si>
    <t>Zohran Mamdani, un maire qui déteste l'Amérique (Carte blanche)</t>
  </si>
  <si>
    <t>https://www.21news.be/zohran-mamdani-un-parcours-qui-explique-sa-radicalite/</t>
  </si>
  <si>
    <t>Voitures électriques : l’Europe s’est tiré une balle dans le moteur (Humeur)</t>
  </si>
  <si>
    <t>https://www.21news.be/voitures-electriques-leurope-sest-tire-une-balle-dans-le-moteur-humeur/</t>
  </si>
  <si>
    <t>Élections aux Pays-Bas : des résultats en trompe-l’œil (Chronique)</t>
  </si>
  <si>
    <t>https://www.21news.be/elections-aux-pays-bas-des-resultats-en-trompe-loeil-chronique/</t>
  </si>
  <si>
    <t>Et si la Belgique apprenait de l’Argentine ? (Carte blanche)</t>
  </si>
  <si>
    <t>https://www.21news.be/et-si-la-belgique-apprenait-de-largentine-carte-blanche/</t>
  </si>
  <si>
    <t>L'héritage discutable de Frans Timmermans (Carte blanche)</t>
  </si>
  <si>
    <t>https://www.21news.be/lheritage-discutable-de-frans-timmermans-carte-blanche/</t>
  </si>
  <si>
    <t>Et s’il n’en reste qu’un, ce ne sera pas celui-là !  David Leisterh s’en va (Chronique)</t>
  </si>
  <si>
    <t>https://www.21news.be/et-sil-nen-reste-quun-ce-ne-sera-pas-celui-la-david-leisterh-sen-va-chronique/</t>
  </si>
  <si>
    <t>On ne rend pas les hommes sobres par un décret du Parlement (Carte blanche)</t>
  </si>
  <si>
    <t>https://www.21news.be/on-ne-rend-pas-les-hommes-sobres-par-un-decret-du-parlement-carte-blanche/</t>
  </si>
  <si>
    <t>En Belgique, la taxation des plus-values sera aussi une taxe sur l’inflation (Carte blanche)</t>
  </si>
  <si>
    <t>https://www.21news.be/en-belgique-la-taxation-des-plus-values-sera-aussi-une-taxe-sur-linflation-carte-blanche/</t>
  </si>
  <si>
    <t>Parking Brussels ne fonctionne pas. Une réforme en profondeur rendrait un sacré service aux Bruxellois et aux finances de la Région (Carte blanche)</t>
  </si>
  <si>
    <t>https://www.21news.be/parking-brussels-ne-fonctionne-pas-une-reforme-en-profondeur-rendrait-un-sacre-service-aux-bruxellois-et-aux-finances-de-la-region-carte-blanche/</t>
  </si>
  <si>
    <t>Lettre ouverte à M. Deswaef (Carte blanche)</t>
  </si>
  <si>
    <t>https://www.21news.be/lettre-ouverte-a-m-deswaef-carte-blanche/</t>
  </si>
  <si>
    <t>Paul Collowald : une conscience européenne, mémoire pour l’avenir (Carte blanche)</t>
  </si>
  <si>
    <t>https://www.21news.be/paul-collowald-une-conscience-europeenne-memoire-pour-lavenir/</t>
  </si>
  <si>
    <t>L’université n’est pas une entreprise. Réponse à ceux qui confondent savoir et rendement (Carte blanche)</t>
  </si>
  <si>
    <t>https://www.21news.be/luniversite-nest-pas-une-entreprise-reponse-a-ceux-qui-confondent-savoir-et-rendement-carte-blanche/</t>
  </si>
  <si>
    <t>« Tu fais profil bas » : pique de Donald Trump à Emmanuel Macron au sommet de Charm el-Cheikh</t>
  </si>
  <si>
    <t>https://www.21news.be/tu-fais-profil-bas-pique-de-donald-trump-a-emmanuel-macron-au-sommet-de-charm-el-cheikh/</t>
  </si>
  <si>
    <t>L’imprévisibilité politique, un poison pour les entreprises cotées en Bourse (Carte blanche)</t>
  </si>
  <si>
    <t>https://www.21news.be/limprevisibilite-politique-un-poison-pour-les-entreprises-cotees-en-bourse-carte-blanche/</t>
  </si>
  <si>
    <t>Pour une tarification universitaire qui dit la vérité plutôt que le leurre du minerval dérisoire (Carte blanche)</t>
  </si>
  <si>
    <t>https://www.21news.be/pour-une-tarification-universitaire-qui-dit-la-verite-plutot-que-le-leurre-du-minerval-derisoire-carte-blanche/</t>
  </si>
  <si>
    <t>Les cent ans des accords de Locarno et l’impossible prix Nobel de la paix de Donald Trump (Opinion)</t>
  </si>
  <si>
    <t>https://www.21news.be/les-cent-ans-des-accords-de-locarno-et-limpossible-prix-nobel-de-la-paix-de-donald-trump-opinion/</t>
  </si>
  <si>
    <t>Gaza : l’information confisquée par le Hamas (Carte blanche)</t>
  </si>
  <si>
    <t>https://www.21news.be/gaza-linformation-confisquee-par-le-hamas-carte-blanche/</t>
  </si>
  <si>
    <t>Quand l’idéologie étouffe la vérité (Carte blanche)</t>
  </si>
  <si>
    <t>https://www.21news.be/quand-lideologie-etouffe-la-verite-carte-blanche/</t>
  </si>
  <si>
    <t>« D’abord ils sont venus chercher mes opposants » : pourquoi la liberté académique n’est un luxe ni de gauche ni de droite (Carte blanche)</t>
  </si>
  <si>
    <t>https://www.21news.be/dabord-ils-sont-venus-chercher-mes-opposants-pourquoi-la-liberte-academique-nest-un-luxe-ni-de-gauche-ni-de-droite-carte-blanche/</t>
  </si>
  <si>
    <t>Le cri « Palestine libre » est devenu un bouclier politique et un commerce idéologique (Carte blanche)</t>
  </si>
  <si>
    <t>https://www.21news.be/le-cri-palestine-libre-est-devenu-un-bouclier-politique-et-un-commerce-ideologique-carte-blanche/</t>
  </si>
  <si>
    <t>Le discours victimaire comme arme fatale (Carte blanche)</t>
  </si>
  <si>
    <t>https://www.21news.be/le-discours-victimaire-comme-arme-fatale-carte-blanche/</t>
  </si>
  <si>
    <t>Europe : une énième demande pour plus de pouvoir (Carte Blanche)</t>
  </si>
  <si>
    <t>https://www.21news.be/europe-une-enieme-demande-pour-plus-de-pouvoir-carte-blanche/</t>
  </si>
  <si>
    <t>Hommage à la lucidité de Jean Gol, 30 ans après sa disparition (Carte blanche)</t>
  </si>
  <si>
    <t>https://www.21news.be/hommage-a-la-lucidite-de-jean-gol-30-ans-apres-sa-disparition-carte-blanche/</t>
  </si>
  <si>
    <t>« Women Wavre », démocratie blessée : et si on écoutait les voix discordantes ? (Carte blanche)</t>
  </si>
  <si>
    <t>https://www.21news.be/women-wavre-democratie-blessee-et-si-on-ecoutait-les-voix-discordantes-carte-blanche/</t>
  </si>
  <si>
    <t>Les vrais négationnistes du génocide sont sur les campus (Opinion)</t>
  </si>
  <si>
    <t>https://www.21news.be/les-vrais-negationnistes-du-genocide-sont-sur-les-campus-opinion/</t>
  </si>
  <si>
    <t>Bruxelles, du nœud gordien à la faillite, de la faillite à la disparition (Opinion)</t>
  </si>
  <si>
    <t>https://www.21news.be/bruxelles-du-noeud-gordien-a-la-faillite-de-la-faillite-a-la-disparition-opinion/</t>
  </si>
  <si>
    <t>11 septembre : la mémoire contre l’oubli (Carte blanche)</t>
  </si>
  <si>
    <t>https://www.21news.be/11-septembre-la-memoire-contre-loubli-carte-blanche/</t>
  </si>
  <si>
    <t>Rima Hassan, l’ULB et le confort du bouc émissaire (Carte blanche)</t>
  </si>
  <si>
    <t>https://www.21news.be/rima-hassan-lulb-et-le-confort-du-bouc-emissaire-carte-blanche/</t>
  </si>
  <si>
    <t>“Colonialisme vert” : comment les progressistes maintiennent l’Afrique à genoux (Opinion)</t>
  </si>
  <si>
    <t>https://www.21news.be/colonialisme-vert-comment-les-progressistes-maintiennent-lafrique-a-genoux-opinion/</t>
  </si>
  <si>
    <t>CHU Saint-Pierre : attente, attente, et bis repetita (Chronique)</t>
  </si>
  <si>
    <t>https://www.21news.be/chu-saint-pierre-attente-attente-et-bis-repetita/</t>
  </si>
  <si>
    <t>Pourquoi je quitte la majorité à Wavre, en tant que conseillère communale « les Engagés » et pourquoi j’ai décidé de siéger de manière indépendante</t>
  </si>
  <si>
    <t>https://www.21news.be/pourquoi-je-quitte-la-majorite-a-wavre-en-tant-que-conseillere-communale-les-engages-et-pourquoi-jai-decide-de-sieger-de-maniere-independante/</t>
  </si>
  <si>
    <t>J’ai vu où mène l’islam politique : ne laissons pas Bruxelles suivre ce chemin (Carte blanche)</t>
  </si>
  <si>
    <t>https://www.21news.be/jai-vu-ou-mene-lislam-politique-ne-laissons-pas-bruxelles-suivre-ce-chemin-carte-blanche/</t>
  </si>
  <si>
    <t>Lettre ouverte à Saliha Raiss, échevine de Molenbeek</t>
  </si>
  <si>
    <t>https://www.21news.be/lettre-ouverte-a-saliha-raiss-echevine-de-molenbeek/</t>
  </si>
  <si>
    <t>Quand le voile devient un drapeau politique : réaction citoyenne à la polémique de Molenbeek</t>
  </si>
  <si>
    <t>https://www.21news.be/quand-le-voile-devient-un-drapeau-politique-reaction-citoyenne-a-la-polemique-de-molenbeek/</t>
  </si>
  <si>
    <t>La Belgique dégringole dans les classements économiques internationaux ; notamment en matière de bonne gouvernance (Opinion)</t>
  </si>
  <si>
    <t>https://www.21news.be/la-belgique-degringole-de-plus-en-plus-dans-les-classements-economiques-internationaux-et-la-corruption-ne-cesse-dempirer/</t>
  </si>
  <si>
    <t>Promotion Rima Hassan maintenue à l’ULB : « Ils auront le déshonneur et la guerre » - Opinion</t>
  </si>
  <si>
    <t>https://www.21news.be/promotion-rima-hassan-maintenue-a-lulb-ils-auront-le-deshonneur-et-la-guerre-opinion/</t>
  </si>
  <si>
    <t>Gaza : les recteurs peuvent-ils rester silencieux ? (Opinion)</t>
  </si>
  <si>
    <t>https://www.21news.be/gaza-les-recteurs-peuvent-ils-rester-silencieux-opinion/</t>
  </si>
  <si>
    <t>Peut-on imaginer une Belgique forte hors de l’OTAN ? (Opinion)</t>
  </si>
  <si>
    <t>https://www.21news.be/peut-on-imaginer-une-belgique-forte-hors-de-lotan-opinion/</t>
  </si>
  <si>
    <t>Pouvoir sauvé, autorité abîmée : Ursula von der Leyen et la crise de confiance de l’Union européenne (Opinion)</t>
  </si>
  <si>
    <t>https://www.21news.be/pouvoir-sauve-autorite-abimee-ursula-von-der-leyen-et-la-crise-de-confiance-de-lunion-europeenne-opinion/</t>
  </si>
  <si>
    <t>Ô rage ! Ô désespoir ! Ô vieillesse ennemie ! N’ai-je donc tant vécu que pour cette infamie ? (*) (Carte Blanche)</t>
  </si>
  <si>
    <t>https://www.21news.be/o-rage-o-desespoir-o-vieillesse-ennemie-nai-je-donc-tant-vecu-que-pour-cette-infamie-carte-blanche/</t>
  </si>
  <si>
    <t>La fin du wokisme en pub ? La campagne d'American Eagle signe certainement un tournant (Édito)</t>
  </si>
  <si>
    <t>https://www.21news.be/la-fin-du-wokisme-en-pub-la-campagne-damerican-eagle-signe-certainement-un-tournant-edito/</t>
  </si>
  <si>
    <t>ÉDITO – Un accord de soumission, la faute à von der Leyen mais aussi à 30 ans de manque de vision</t>
  </si>
  <si>
    <t>https://www.21news.be/edito-un-accord-de-soumission-la-faute-a-von-der-leyen-mais-aussi-a-30-ans-de-manque-de-vision/</t>
  </si>
  <si>
    <t>Comment un influenceur mexicain a été accueilli à Bruxelles</t>
  </si>
  <si>
    <t>https://www.21news.be/comment-un-influenceur-mexicain-a-ete-accueilli-a-bruxelles/</t>
  </si>
  <si>
    <t>Sire, comment vous dire ? (Opinion)</t>
  </si>
  <si>
    <t>https://www.21news.be/sire-comment-vous-dire-opinion/</t>
  </si>
  <si>
    <t>Théo Francken refuse de chanter l'hymne national : faut-il vraiment s'en étonner ? (Contribution externe)</t>
  </si>
  <si>
    <t>https://www.21news.be/theo-francken-ministre-belge-de-la-defense-a-refuse-de-chanter-lhymne-national-il-a-aussi-refuse-de-dire-ces-trois-mots-simples-qui-dans-un-autre-pays-seraient-consideres-comme-une-evide/</t>
  </si>
  <si>
    <t>21 juillet : pourquoi faire disparaître les visages des soldats du défilé ? (Opinion)</t>
  </si>
  <si>
    <t>https://www.21news.be/21-juillet-pourquoi-faire-disparaitre-les-visages-des-soldats-du-defile/</t>
  </si>
  <si>
    <t>Imposer plus ceux qui contribuent déjà : une fausse solution facile (Carte blanche)</t>
  </si>
  <si>
    <t>https://www.21news.be/imposer-plus-ceux-qui-contribuent-deja-une-fausse-solution-facile-carte-blanche/</t>
  </si>
  <si>
    <t>L’ennemi de mes ennemis (Opinion)</t>
  </si>
  <si>
    <t>https://www.21news.be/lennemi-de-mes-ennemis-opinion/</t>
  </si>
  <si>
    <t>Le voile, cette prison de tissu (Carte blanche)</t>
  </si>
  <si>
    <t>https://www.21news.be/le-voile-cette-prison-de-tissu-carte-blanche/</t>
  </si>
  <si>
    <t>La neutralité en danger : il est temps de réagir (Carte blanche)</t>
  </si>
  <si>
    <t>https://www.21news.be/la-neutralite-en-danger-il-est-temps-de-reagir-carte-blanche/</t>
  </si>
  <si>
    <t>L’enseignement du vide (Opinion)</t>
  </si>
  <si>
    <t>https://www.21news.be/lenseignement-du-vide-opinion/</t>
  </si>
  <si>
    <t>Un député germanophone garanti : stop ou encore ? (Opinion)</t>
  </si>
  <si>
    <t>https://www.21news.be/un-depute-germanophone-garanti-stop-ou-encore-opinion/</t>
  </si>
  <si>
    <t>Liberté d’expression : dire ce qu’on pense, mais penser ce qu’on dit (Carte blanche)</t>
  </si>
  <si>
    <t>https://www.21news.be/liberte-dexpression-dire-ce-quon-pense-mais-penser-ce-quon-dit-carte-blanche/</t>
  </si>
  <si>
    <t>Sommet de l’OTAN à La Haye : triple erreur et triple idiotie (Opinion)</t>
  </si>
  <si>
    <t>https://www.21news.be/sommet-de-lotan-a-la-haye-triple-erreur-et-triple-idiotie-opinion/</t>
  </si>
  <si>
    <t>Le cordon sanitaire, une exception belge à réexaminer ? (Opinion)</t>
  </si>
  <si>
    <t>https://www.21news.be/le-cordon-sanitaire-une-exception-belge-a-reexaminer-opinion/</t>
  </si>
  <si>
    <t>Dans la guerre commerciale, la réalité s'installe (Carte blanche)</t>
  </si>
  <si>
    <t>https://www.21news.be/dans-la-guerre-commerciale-la-realite-sinstalle-carte-blanche/</t>
  </si>
  <si>
    <t>Ne pleurez pas un bourreau : la République islamique est enfin touchée au cœur (Carte blanche)</t>
  </si>
  <si>
    <t>https://www.21news.be/ne-pleurez-pas-un-bourreau-la-republique-islamique-est-enfin-touchee-au-coeur-carte-blanche/</t>
  </si>
  <si>
    <t>L’islamisme, ennemi intérieur de la démocratie (Carte Blanche)</t>
  </si>
  <si>
    <t>https://www.21news.be/lislamisme-ennemi-interieur-de-la-democratie-carte-blanche/</t>
  </si>
  <si>
    <t>Au niveau de l'UE, le poisson pourrit par la tête (Carte blanche)</t>
  </si>
  <si>
    <t>https://www.21news.be/au-niveau-de-lue-le-poisson-pourrit-par-la-tete-carte-blanche/</t>
  </si>
  <si>
    <t>L’ordre libéral — et l’Occident avec lui — doit évoluer, ou risquer l’obsolescence (Opinion)</t>
  </si>
  <si>
    <t>https://www.21news.be/lordre-liberal-et-loccident-avec-lui-doit-evoluer-ou-risquer-lobsolescence-opinion/</t>
  </si>
  <si>
    <t>Le jeu dangereux du PS à Bruxelles (Opinion)</t>
  </si>
  <si>
    <t>https://www.21news.be/le-jeu-dangereux-du-ps-a-bruxelles-opinion/</t>
  </si>
  <si>
    <t>La CEDH ou le gouvernement des juges. Bart De Wever a raison ! (Carte blanche)</t>
  </si>
  <si>
    <t>https://www.21news.be/la-cedh-ou-le-gouvernement-des-juges-bart-de-wever-a-raison-carte-blanche/</t>
  </si>
  <si>
    <t>Frères musulmans : les alertes s’accumulent, l’action se fait attendre (Carte blanche)</t>
  </si>
  <si>
    <t>https://www.21news.be/freres-musulmans-les-alertes-saccumulent-laction-se-fait-attendre-carte-blanche/</t>
  </si>
  <si>
    <t>Pour Ridouane Chahid… la Belgique connaît pas ! (Chronique)</t>
  </si>
  <si>
    <t>https://www.21news.be/pour-ridouane-chahid-la-belgique-connait-pas-chronique/</t>
  </si>
  <si>
    <t>Ce que l'Europe peut attendre des négociations commerciales avec les États-Unis (Carte blanche)</t>
  </si>
  <si>
    <t>https://www.21news.be/ce-que-leurope-peut-attendre-des-negociations-commerciales-avec-les-etats-unis-carte-blanche/</t>
  </si>
  <si>
    <t>Israël-Palestine : l’Arizona en pleine parade (Opinion)</t>
  </si>
  <si>
    <t>https://www.21news.be/israel-palestine-larizona-en-pleine-parade-opinion/</t>
  </si>
  <si>
    <t>La Belgique insoumise ou l’asymétrie des idioties (Opinion)</t>
  </si>
  <si>
    <t>https://www.21news.be/la-belgique-insoumise-ou-lasymetrie-des-idioties-opinion/</t>
  </si>
  <si>
    <t>Un choc pour le commerce international (Carte blanche)</t>
  </si>
  <si>
    <t>https://www.21news.be/un-choc-pour-le-commerce-international-carte-blanche/</t>
  </si>
  <si>
    <t>Fillon, Sarkozy, Le Pen : vers le gouvernement des juges ? (Opinion)</t>
  </si>
  <si>
    <t>https://www.21news.be/fillon-sarkozy-le-pen-vers-le-gouvernement-des-juges-opinion/</t>
  </si>
  <si>
    <t>Racisme anti-blanc et « expertise scientifique » à la RTBF, une clarification épistémologique (Carte blanche)</t>
  </si>
  <si>
    <t>https://www.21news.be/racisme-anti-blanc-et-expertise-scientifique-a-la-rtbf-une-clarification-epistemologique-carte-blanche/</t>
  </si>
  <si>
    <t>Trump/Poutine : un coup de fil historique ? (Opinion)</t>
  </si>
  <si>
    <t>https://www.21news.be/trump-poutine-un-coup-de-fil-historique-opinion/</t>
  </si>
  <si>
    <t>La Belgique, complice d’un procès Dreyfus planétaire (Opinion)</t>
  </si>
  <si>
    <t>https://www.21news.be/la-belgique-complice-dun-proces-dreyfus-planetaire-opinion/</t>
  </si>
  <si>
    <t>Ukraine : solidarité et adhésion accélérée à l’Union européenne (Opinion)</t>
  </si>
  <si>
    <t>https://www.21news.be/ukraine-solidarite-et-adhesion-acceleree-a-lunion-europeenne-opinion/</t>
  </si>
  <si>
    <t>Une situation budgétaire belge alarmante : nos finances dans un état critique</t>
  </si>
  <si>
    <t>https://www.21news.be/une-situation-budgetaire-belge-alarmante-nos-finances-dans-un-etat-critique/</t>
  </si>
  <si>
    <t>21ème siècle : la victoire du libéralisme !</t>
  </si>
  <si>
    <t>https://www.21news.be/21eme-siecle-la-victoire-du-liberalisme/</t>
  </si>
  <si>
    <t>Libéralisme et Culture : un débat nécessaire, pas une polémique (Carte blanche)</t>
  </si>
  <si>
    <t>https://www.21news.be/liberalisme-et-culture-un-debat-necessaire-pas-une-polemique-carte-blanche/</t>
  </si>
  <si>
    <t>Ukraine-Russie : le temps de la paix semble arriver (Opinion)</t>
  </si>
  <si>
    <t>https://www.21news.be/ukraine-russie-le-temps-de-la-paix-semble-arriver-opinion/</t>
  </si>
  <si>
    <t>EDITO : Le Parlement bruxellois adopte une résolution demandant des sanctions contre Israël : une triple erreur</t>
  </si>
  <si>
    <t>https://www.21news.be/edito-le-parlement-bruxellois-adopte-une-resolution-demandant-des-sanctions-contre-israel-une-triple-erreur/</t>
  </si>
  <si>
    <t>Boycott d’Israël : libres ou engagées, les universités belges vont devoir choisir (Opinion)</t>
  </si>
  <si>
    <t>https://www.21news.be/boycott-disrael-libres-ou-engagees-les-universites-belges-vont-devoir-choisir-opinion/</t>
  </si>
  <si>
    <t>Le grand virage scandinave de Vooruit, tsunami silencieux de la politique belge (Opinion)</t>
  </si>
  <si>
    <t>https://www.21news.be/le-grand-virage-scandinave-de-vooruit-tsunami-silencieux-de-la-politique-belge-opinion/</t>
  </si>
  <si>
    <t>Pendant les fusillades à Bruxelles, nous avons la gauche du déni et du blocage. Cela suffit ! (Opinion)</t>
  </si>
  <si>
    <t>https://www.21news.be/pendant-les-fusillades-a-bruxelles-nous-avons-la-gauche-du-deni-et-du-blocage-cela-suffit-opinion/</t>
  </si>
  <si>
    <t>80 ans après Auschwitz, la gauche flirte avec l'antisémitisme (Opinion)</t>
  </si>
  <si>
    <t>https://www.21news.be/80-ans-apres-auschwitz-les-antisemites-sont-ils-desormais-a-gauche-opinion/</t>
  </si>
  <si>
    <t>Les négociations gouvernementales les plus importantes pour que la Belgique survive au XXIe siècle (Carte blanche)</t>
  </si>
  <si>
    <t>https://www.21news.be/les-negociations-gouvernementales-les-plus-importantes-pour-que-la-belgique-survive-au-xxie-siecle-carte-blanche/</t>
  </si>
  <si>
    <t>Diffusion en différé du Président US : « Il est temps de réformer le paquebot du boulevard Reyers en profondeur » (Carte blanche)</t>
  </si>
  <si>
    <t>https://www.21news.be/diffusion-en-differe-du-president-us-il-est-temps-de-reformer-le-paquebot-du-boulevard-reyers-en-profondeur-carte-blanche/</t>
  </si>
  <si>
    <t>Moyen-Orient : entre extrémisme et silence complice, un appel à défendre les droits fondamentaux (Carte blanche)</t>
  </si>
  <si>
    <t>https://www.21news.be/moyen-orient-entre-extremisme-et-silence-complice-un-appel-a-defendre-les-droits-fondamentaux-carte-blanche/</t>
  </si>
  <si>
    <t>Paul Magnette perd complètement ses nerfs : le PS dérape dans l’opposition (opinion)</t>
  </si>
  <si>
    <t>https://www.21news.be/paul-magnette-perd-completement-ses-nerfs-le-ps-derape-dans-lopposition-opinion/</t>
  </si>
  <si>
    <t>Les réseaux sociaux, tribune de la haine ? (Opinion)</t>
  </si>
  <si>
    <t>https://www.21news.be/les-reseaux-sociaux-tribune-de-la-haine-opinion/</t>
  </si>
  <si>
    <t>Pourquoi diable la FEF soutient-elle une grève durant les examens ? (Opinion)</t>
  </si>
  <si>
    <t>https://www.21news.be/pourquoi-diable-la-fef-soutient-elle-une-greve-durant-les-examens-opinion/</t>
  </si>
  <si>
    <t>Trump-Musk : la théorie des dominos (Carte blanche)</t>
  </si>
  <si>
    <t>https://www.21news.be/trump-musk-la-theorie-des-dominos-carte-blanche/</t>
  </si>
  <si>
    <t>Feuilles mortes, plantes invasives, castors, voilà des questions qui, sans le moindre doute, préoccupent les Bruxellois (Opinion)</t>
  </si>
  <si>
    <t>https://www.21news.be/pendant-que-bruxelles-brule-alain-maron-compte-les-feuilles-mortes-et-les-castors-opinion/</t>
  </si>
  <si>
    <t>Pour des gouvernements de plein exercice, inspirons-nous des règles du ministère des Finances (Opinion)</t>
  </si>
  <si>
    <t>https://www.21news.be/pour-des-gouvernements-de-plein-exercice-inspirons-nous-des-regles-du-ministere-des-finances-opinion/</t>
  </si>
  <si>
    <t>Louis Sarkozy : "EPR et nucléaire, des atouts majeurs pour la France"</t>
  </si>
  <si>
    <t>https://www.21news.be/epr-et-nucleaire-des-atout-majeurs-pour-la-france/</t>
  </si>
  <si>
    <t>ÉDITO - Quinze véhicules de la STIB endommagés au réveillon ? Pas d’« incidents majeurs » pour la STIB</t>
  </si>
  <si>
    <t>https://www.21news.be/edito-quinze-vehicules-de-la-stib-endommages-au-reveillon-pas-d-incidents-majeurs-pour-la-stib/</t>
  </si>
  <si>
    <t>ÉDITO - 21News reste sur X. Voici pourquoi</t>
  </si>
  <si>
    <t>https://www.21news.be/edito-21news-reste-sur-x-voici-pourquoi/</t>
  </si>
  <si>
    <t>Justice au cyber café ! (Opinion)</t>
  </si>
  <si>
    <t>https://www.21news.be/justice-au-cyber-cafe-opinion/</t>
  </si>
  <si>
    <t>Un plaidoyer pour les citoyens (Opinion)</t>
  </si>
  <si>
    <t>https://www.21news.be/un-plaidoyer-pour-les-citoyens-opinion/</t>
  </si>
  <si>
    <t>Du relativisme en science et du scientisme à l'ULB - Réponse au Pr Rea (Opinion)</t>
  </si>
  <si>
    <t>https://www.21news.be/du-relativisme-en-science-et-du-scientisme-a-lulb-reponse-au-pr-rea-opinion/</t>
  </si>
  <si>
    <t>Le retour du service militaire obligatoire, pourquoi pas ? (Opinion)</t>
  </si>
  <si>
    <t>https://www.21news.be/le-retour-du-service-militaire-obligatoire-pourquoi-pas-opinion/</t>
  </si>
  <si>
    <t>Réforme des droits d’enregistrement et de succession : inclusive et socialement juste (Opinion)</t>
  </si>
  <si>
    <t>https://www.21news.be/reforme-des-droits-denregistrement-et-de-succession-inclusive-et-socialement-juste-opinion/</t>
  </si>
  <si>
    <t>Carte blanche : une justice au rabais</t>
  </si>
  <si>
    <t>https://www.21news.be/carte-blanche-une-justice-au-rabais/</t>
  </si>
  <si>
    <t>OPINION - Fermeture des tunnels bruxellois : une économie qui pourrait coûter cher</t>
  </si>
  <si>
    <t>https://www.21news.be/opinion-fermeture-des-tunnels-bruxellois-une-economie-qui-pourrait-couter-cher/</t>
  </si>
  <si>
    <t>Bernard Clerfayt, un ministre au casino de Bruxelles (Opinion)</t>
  </si>
  <si>
    <t>https://www.21news.be/bernard-clerfayt-un-ministre-au-casino-de-bruxelles-opinion/</t>
  </si>
  <si>
    <t>OPINION : Le PS, irresponsabilité et crise institutionnelle</t>
  </si>
  <si>
    <t>https://www.21news.be/opinion-le-ps-irresponsabilite-et-crise-institutionnelle/</t>
  </si>
  <si>
    <t>OPINION : Amnesty ou la forgerie d’un génocide</t>
  </si>
  <si>
    <t>https://www.21news.be/opinion-amnesty-ou-la-forgerie-dun-genocide/</t>
  </si>
  <si>
    <t>Lettre ouverte à ceux qui protestent et vont manifester contre la conférence du Centre Jean Gol ce lundi 9 décembre</t>
  </si>
  <si>
    <t>https://www.21news.be/lettre-ouverte-a-ceux-qui-protestent-et-vont-manifester-contre-la-conference-du-centre-jean-gol-ce-lundi-9-decembre/</t>
  </si>
  <si>
    <t>Subventions publiques aux ONG : la fin d'un modèle intouchable ?</t>
  </si>
  <si>
    <t>https://www.21news.be/subventions-publiques-aux-ong-la-fin-dun-modele-intouchable/</t>
  </si>
  <si>
    <t>La Belgique, enfer fiscal du travailleur (Opinion)</t>
  </si>
  <si>
    <t>https://www.21news.be/la-belgique-enfer-fiscal-du-travailleur-opinion/</t>
  </si>
  <si>
    <t>OPINION : L’ULB rompt sa neutralité dans le conflit israélo-palestinien</t>
  </si>
  <si>
    <t>https://www.21news.be/opinion-lulb-rompt-sa-neutralite-dans-le-conflit-israelo-palestinien/</t>
  </si>
  <si>
    <t>Coup de gueule dans l'Horeca, signé David Leisterh : le « Vieux Boitsfort » ferme ses portes</t>
  </si>
  <si>
    <t>https://www.21news.be/coup-de-gueule-dans-lhoreca-signe-david-leisterh-le-vieux-boitsfort-ferme-ses-portes/</t>
  </si>
  <si>
    <t>OPINION : Fraude électorale : des mandats à tout prix !</t>
  </si>
  <si>
    <t>https://www.21news.be/opinion-fraude-electorale-des-mandats-a-tout-prix/</t>
  </si>
  <si>
    <t>CPAS d'Anderlecht : les « services » non désintéressés de Mustapha Akouz (chronique)</t>
  </si>
  <si>
    <t>https://www.21news.be/cpas-danderlecht-les-services-non-desinteresses-de-mustapha-akouz-chronique/</t>
  </si>
  <si>
    <t>OPINION : Scandales au CPAS d’Anderlecht, la partie émergée de l’iceberg</t>
  </si>
  <si>
    <t>https://www.21news.be/opinion-scandales-au-cpas-danderlecht-la-partie-emergee-de-liceberg/</t>
  </si>
  <si>
    <t>Bruxelles, soumise et fière de l'être (OPINION)</t>
  </si>
  <si>
    <t>https://www.21news.be/bruxelles-soumise-et-fiere-de-letre-opinion/</t>
  </si>
  <si>
    <t>Carte blanche : Le dépeçage de Mons</t>
  </si>
  <si>
    <t>https://www.21news.be/le-depecage-de-mons/</t>
  </si>
  <si>
    <t>Carte blanche : L'école de la déculturation</t>
  </si>
  <si>
    <t>https://www.21news.be/carte-banche-lecole-de-la-deculturation/</t>
  </si>
  <si>
    <t>Bruxelles : une mobilité imposée, des riverains oubliés</t>
  </si>
  <si>
    <t>https://www.21news.be/bruxelles-une-mobilite-imposee-des-riverains-oublies/</t>
  </si>
  <si>
    <t>Soins de santé : un budget, vite !</t>
  </si>
  <si>
    <t>https://www.21news.be/soins-de-sante-un-budget-vite/</t>
  </si>
  <si>
    <t>Le sexisme en politique n’est pas un accident, mais une stratégie (carte blanche)</t>
  </si>
  <si>
    <t>https://www.21news.be/le-sexisme-en-politique-nest-pas-un-accident-mais-une-strategie-carte-blanche/</t>
  </si>
  <si>
    <t>La ruine de l’OTAN peut devenir la fortune de Bruxelles (carte blanche)</t>
  </si>
  <si>
    <t>https://www.21news.be/la-ruine-de-lotan-peut-devenir-la-fortune-de-bruxelles-carte-blanche/</t>
  </si>
  <si>
    <t>Samuel Paty a été assassiné pour ce qu’il enseignait (Carte blanche)</t>
  </si>
  <si>
    <t>https://www.21news.be/samuel-paty-a-ete-assassine-pour-ce-quil-enseignait-carte-blanche/</t>
  </si>
  <si>
    <t>Coprésidence d'Ecolo : pas de concurrence pour le duo Leroy-Vanden Burre</t>
  </si>
  <si>
    <t>https://www.21news.be/copresidence-decolo-pas-de-concurrence-pour-le-duo-leroy-vanden-burre/</t>
  </si>
  <si>
    <t>Alain Duhamel dénonce le déni de la droitisation de la France</t>
  </si>
  <si>
    <t>https://www.21news.be/alain-duhamel-denonce-le-deni-de-la-droitisation-de-la-france/</t>
  </si>
  <si>
    <t>Présidentielle au Portugal : André Ventura au second tour</t>
  </si>
  <si>
    <t>https://www.21news.be/presidentielle-au-portugal-andre-ventura-au-second-tour/</t>
  </si>
  <si>
    <t>Marguerite Stern, itinéraire d’une dissidence</t>
  </si>
  <si>
    <t>https://www.21news.be/marguerite-stern-itineraire-dune-dissidence/</t>
  </si>
  <si>
    <t>L’aveuglement savant : quand l’université confond critique et complaisance</t>
  </si>
  <si>
    <t>https://www.21news.be/laveuglement-savant-quand-luniversite-confond-critique-et-complaisance/</t>
  </si>
  <si>
    <t>Venezuela, Iran et Occident : l’indignation sélective de l’extrême gauche</t>
  </si>
  <si>
    <t>https://www.21news.be/venezuela-iran-et-occident-lindignation-selective-de-lextreme-gauche/</t>
  </si>
  <si>
    <t>“Brûler le MR et Bouchez au milieu” : le MR appelle les syndicats à condamner les violences verbales</t>
  </si>
  <si>
    <t>https://www.21news.be/bruler-le-mr-et-bouchez-au-milieu-le-mr-appelle-les-syndicats-a-condamner-les-violences-verbales/</t>
  </si>
  <si>
    <t>« L’exfiltration » de Michel De Maegd : enquête sur les coulisses d’un départ annoncé</t>
  </si>
  <si>
    <t>https://www.21news.be/lexfiltration-de-michel-de-maegd-enquete-sur-les-coulisses-dun-depart-annonce/</t>
  </si>
  <si>
    <t>Le départ de Michel De Maegd, révélateur des erreurs de casting du MR bruxellois</t>
  </si>
  <si>
    <t>https://www.21news.be/le-depart-de-michel-de-maegd-revelateur-des-erreurs-de-casting-du-mr-bruxellois/</t>
  </si>
  <si>
    <t>Progressisme et déconstruction : les racines idéologiques du mal-être contemporain</t>
  </si>
  <si>
    <t>Une loge belge au camp d’Esterwegen…</t>
  </si>
  <si>
    <t>https://www.21news.be/une-loge-belge-au-camp-desterwegen/</t>
  </si>
  <si>
    <t>Michel De Maegd : « J’ai toute ma place au MR »</t>
  </si>
  <si>
    <t>https://www.21news.be/michel-de-maegd-jai-toute-ma-place-au-mr/</t>
  </si>
  <si>
    <t>Comptes dormants : l’Open VLD dénonce une « confiscation déguisée »</t>
  </si>
  <si>
    <t>https://www.21news.be/comptes-dormants-lopen-vld-denonce-une-confiscation-deguisee/</t>
  </si>
  <si>
    <t>Le fisc veut faire de la “profilisation fiscale”, le député Van Quickenborne part en résistance</t>
  </si>
  <si>
    <t>https://www.21news.be/le-fisc-veut-faire-de-la-profilisation-fiscale-le-depute-van-quickenborne-part-en-resistance/</t>
  </si>
  <si>
    <t>Comment les crises d’Ecolo et de Défi peuvent transformer la scène politique en Wallonie et à Bruxelles</t>
  </si>
  <si>
    <t>https://www.21news.be/comment-les-crises-decolo-et-de-defi-peuvent-transformer-la-scene-politique-en-wallonie-et-a-bruxelles/</t>
  </si>
  <si>
    <t>Gouvernement fédéral :  le kern se réunira à nouveau vendredi pour discuter du budget</t>
  </si>
  <si>
    <t>https://www.21news.be/gouvernement-federal-le-kern-se-reunira-a-nouveau-vendredi-pour-discuter-du-budget/</t>
  </si>
  <si>
    <t>Recasage façon PS ? Le « super-fonctionnaire » Frédéric Delcor rebondit à la Ville de Bruxelles</t>
  </si>
  <si>
    <t>https://www.21news.be/recasage-facon-ps-le-super-fonctionnaire-frederic-delcor-rebondit-a-la-ville-de-bruxelles/</t>
  </si>
  <si>
    <t>Test CLÉ : le Parlement valide la nouvelle évaluation en 4e primaire dès 2026</t>
  </si>
  <si>
    <t>https://www.21news.be/test-cle-le-parlement-valide-la-nouvelle-evaluation-en-4e-primaire-des-2026/</t>
  </si>
  <si>
    <t>Écolo fracturé : la crise entre coprésidents menace la relance du parti. Vers des élections internes ?</t>
  </si>
  <si>
    <t>https://www.21news.be/ecolo-fracture-la-crise-entre-copresidents-menace-la-relance-du-parti-vers-des-elections-internes/</t>
  </si>
  <si>
    <t>Crise de leadership chez Ecolo : la rupture entre Samuel Cogolati et Marie Lecocq est consommée</t>
  </si>
  <si>
    <t>https://www.21news.be/crise-de-leadership-chez-ecolo-la-rupture-entre-samuel-cogolati-et-marie-lecocq-est-consommee/</t>
  </si>
  <si>
    <t>Le PS, en plein exercice de refondation, entame ce week-end une nouvelle ère cruciale</t>
  </si>
  <si>
    <t>https://www.21news.be/le-ps-en-plein-exercice-de-refondation-entame-ce-week-end-une-nouvelle-ere-cruciale/</t>
  </si>
  <si>
    <t>Scandale de corruption en Ukraine : l’épreuve de vérité du système Zelensky</t>
  </si>
  <si>
    <t>https://www.21news.be/scandale-de-corruption-en-ukraine-lepreuve-de-verite-du-systeme-zelensky/</t>
  </si>
  <si>
    <t>Les Engagés appellent à aller plus vite sur l’interdiction nocturne des trottinettes</t>
  </si>
  <si>
    <t>https://www.21news.be/les-engages-appellent-a-aller-plus-vite-sur-linterdiction-nocturne-des-trottinettes/</t>
  </si>
  <si>
    <t>En pleine crise budgétaire et d’affaires courantes, Alain Maron recrute d’anciens députés Écolo</t>
  </si>
  <si>
    <t>https://www.21news.be/en-pleine-crise-budgetaire-et-daffaires-courantes-alain-maron-recrute-danciens-deputes-ecolo/</t>
  </si>
  <si>
    <t>Donald Trump victorieux du plus long « shutdown » de l’histoire américaine</t>
  </si>
  <si>
    <t>https://www.21news.be/donald-trump-victorieux-du-plus-long-shutdown-de-lhistoire-americaine/</t>
  </si>
  <si>
    <t>Boualem Sansal gracié : l’écrivain franco-algérien libéré après un an de détention</t>
  </si>
  <si>
    <t>https://www.21news.be/boualem-sansal-gracie-lecrivain-franco-algerien-libere-apres-un-an-de-detention/</t>
  </si>
  <si>
    <t>Mahmoud Abbas à Paris : la fin du Hamas à Gaza et l’ambition d’un État palestinien unifié</t>
  </si>
  <si>
    <t>https://www.21news.be/mahmoud-abbas-a-paris-la-fin-du-hamas-a-gaza-et-lambition-dun-etat-palestinien-unifie/</t>
  </si>
  <si>
    <t>Trump reçoit al-Chaara à la Maison-Blanche</t>
  </si>
  <si>
    <t>https://www.21news.be/trump-recoit-al-chaara-a-la-maison-blanche/</t>
  </si>
  <si>
    <t>Budget fédéral : Conner Rousseau n’exclut pas une désindexation partielle des hauts revenus</t>
  </si>
  <si>
    <t>https://www.21news.be/budget-federal-conner-rousseau-nexclut-pas-une-indexation-partielle-des-hauts-revenus/</t>
  </si>
  <si>
    <t>Bruxelles face au risque de shutdown : une crise budgétaire qui devient crise politique</t>
  </si>
  <si>
    <t>https://www.21news.be/bruxelles-face-au-risque-de-shutdown-une-crise-budgetaire-qui-devient-crise-politique/</t>
  </si>
  <si>
    <t>Conférence NatCon : la justice juge illégale l’interdiction décidée à Saint-Josse-ten-Noode</t>
  </si>
  <si>
    <t>https://www.21news.be/conference-natcon-la-justice-juge-illegale-linterdiction-decidee-a-saint-josse-ten-noode/</t>
  </si>
  <si>
    <t>Marcel Gauchet : « Les États-nations reviennent en première ligne, à commencer par l’État-nation américain »</t>
  </si>
  <si>
    <t>https://www.21news.be/marcel-gauchet-les-etats-nations-reviennent-en-premiere-ligne-a-commencer-par-letat-nation-americain/</t>
  </si>
  <si>
    <t>Fabian Zuleeg : « Donald Trump tente essentiellement de renverser la démocratie libérale européenne »</t>
  </si>
  <si>
    <t>https://www.21news.be/fabian-zuleeg-european-policy-centre-trump-tente-essentiellement-de-renverser-la-democratie-liberale-europeenne/</t>
  </si>
  <si>
    <t>Bouchez sur la tentative d’un gouvernement de centre-gauche à Bruxelles : « cette coalition présente trois fautes politiques majeures »</t>
  </si>
  <si>
    <t>https://www.21news.be/bouchez-sur-la-tentative-dun-gouvernement-de-centre-gauche-a-bruxelles-cette-coalition-presente-trois-fautes-politiques-majeures/</t>
  </si>
  <si>
    <t>Federica Mogherini démissionne de son poste de rectrice du Collège d'Europe</t>
  </si>
  <si>
    <t>https://www.21news.be/federica-mogherini-demissionne-de-son-poste-de-rectrice-du-college-deurope/</t>
  </si>
  <si>
    <t>Les cheminots menacent d'une semaine de grève si les réformes sont présentées à la Chambre</t>
  </si>
  <si>
    <t>https://www.21news.be/les-cheminots-menacent-dune-semaine-de-greve-si-les-reformes-sont-presentees-a-la-chambre/</t>
  </si>
  <si>
    <t>La Belgique intègre le Centre d'excellence pour la communication stratégique de l'Otan</t>
  </si>
  <si>
    <t>https://www.21news.be/la-belgique-integre-le-centre-dexcellence-pour-la-communication-strategique-de-lotan/</t>
  </si>
  <si>
    <t>Rencontre avec 5 profils qui gagnent entre 1.800 et 2.400 euros et qui en ont marre de payer pour “Jacqueline”.</t>
  </si>
  <si>
    <t>https://www.21news.be/rencontre-avec-5-profils-qui-gagnent-entre-1-800-et-2-400-euros-et-qui-en-ont-marre-de-payer-pour-jacqueline/</t>
  </si>
  <si>
    <t>De la N-VA au PS, la classe politique réagit vigoureusement au reportage de Christophe Deborsu</t>
  </si>
  <si>
    <t>https://www.21news.be/de-la-n-va-au-ps-la-classe-politique-reagit-vigoureusement-au-reportage-de-christophe-deborsu/</t>
  </si>
  <si>
    <t>François Ruffin juge Mélenchon incapable de battre Marine Le Pen en 2027</t>
  </si>
  <si>
    <t>https://www.21news.be/francois-ruffin-juge-melenchon-incapable-de-battre-marine-le-pen-en-2027/</t>
  </si>
  <si>
    <t>Élections 2024 : votes fantômes, urnes égarées, le CRISP pointe des erreurs et des anomalies dans les résultats de plusieurs communes wallonnes</t>
  </si>
  <si>
    <t>https://www.21news.be/elections-2024-votes-fantomes-urnes-egarees-le-crisp-pointe-des-erreurs-et-des-anomalies-dans-les-resultats-de-plusieurs-communes-wallonnes/</t>
  </si>
  <si>
    <t>Paul Magnette salue la victoire de Zohran Mamdani à New York</t>
  </si>
  <si>
    <t>https://www.21news.be/paul-magnette-salue-la-victoire-de-zohran-mamdani-a-new-york/</t>
  </si>
  <si>
    <t>Valentine Delwart favorite pour remplacer David Leisterh</t>
  </si>
  <si>
    <t>https://www.21news.be/valentine-delwart-favorite-pour-remplacer-david-leisterh/</t>
  </si>
  <si>
    <t>Didier Reynders inculpé pour blanchiment d'argent</t>
  </si>
  <si>
    <t>https://www.21news.be/didier-reynders-inculpe-pour-blanchiment-dargent/</t>
  </si>
  <si>
    <t>Donald Trump menace le Nigeria d’une intervention militaire</t>
  </si>
  <si>
    <t>https://www.21news.be/donald-trump-menace-le-nigeria-dune-intervention-militaire/</t>
  </si>
  <si>
    <t>Frédéric De Gucht presse la majorité de trouver un accord budgétaire avant jeudi</t>
  </si>
  <si>
    <t>https://www.21news.be/frederic-de-gucht-presse-la-majorite-de-trouver-un-accord-budgetaire-avant-jeudi/</t>
  </si>
  <si>
    <t>Molenbeek-Saint-Jean : la bourgmestre Catherine Moureaux prolonge sa convalescence</t>
  </si>
  <si>
    <t>https://www.21news.be/molenbeek-saint-jean-la-bourgmestre-catherine-moureaux-prolonge-sa-convalescence/</t>
  </si>
  <si>
    <t>Formation bruxelloise : Bouchez convoque les six partis à une réunion lundi</t>
  </si>
  <si>
    <t>https://www.21news.be/formation-bruxelloise-bouchez-convoque-les-six-partis-a-une-reunion-lundi/</t>
  </si>
  <si>
    <t>Pays-Bas : Rob Jetten et Geert Wilders au coude-à-coude</t>
  </si>
  <si>
    <t>https://www.21news.be/pays-bas-rob-jetten-et-geert-wilders-au-coude-a-coude/</t>
  </si>
  <si>
    <t>Clarinval répond aux critiques sur les exclus du chômage</t>
  </si>
  <si>
    <t>https://www.21news.be/clarinval-repond-aux-critiques-sur-les-exclus-du-chomage/</t>
  </si>
  <si>
    <t>Boualem Sansal gravement malade dans sa prison</t>
  </si>
  <si>
    <t>https://www.21news.be/boualem-sansal-gravement-malade-dans-sa-prison/</t>
  </si>
  <si>
    <t>La sécurité sociale espagnole ou danoise est-elle meilleure que la belge, comme l’affirme Paul Magnette ? (Humeur)</t>
  </si>
  <si>
    <t>https://www.21news.be/la-securite-sociale-espagnole-ou-danoise-est-elle-meilleure-que-la-belge-comme-laffirme-paul-magnette-humeur/</t>
  </si>
  <si>
    <t>L’Europe met fin au droit au découvert bancaire</t>
  </si>
  <si>
    <t>https://www.21news.be/leurope-met-fin-au-droit-au-decouvert-bancaire/</t>
  </si>
  <si>
    <t>En Belgique la route devient une source d'impôts</t>
  </si>
  <si>
    <t>https://www.21news.be/en-belgique-la-route-se-mue-en-impot-roulant/</t>
  </si>
  <si>
    <t>Près de 60 % des futurs exclus du chômage sont d’origine étrangère, selon David Clarinval</t>
  </si>
  <si>
    <t>https://www.21news.be/pres-de-60-des-futurs-exclus-du-chomage-sont-dorigine-etrangere-selon-david-clarinval/</t>
  </si>
  <si>
    <t>Pierre-Frédéric Nyst (UCM) sur les subsides aux entreprises : “Simplifier, pas sabrer : les aides doivent cibler ceux qui en ont vraiment besoin”</t>
  </si>
  <si>
    <t>https://www.21news.be/pierre-frederic-nyst-ucm-sur-les-subsides-aux-entreprises-simplifier-pas-sabrer-les-aides-doivent-cibler-ceux-qui-en-ont-vraiment-besoin/</t>
  </si>
  <si>
    <t>Argentine : le pari gagnant de Milei</t>
  </si>
  <si>
    <t>https://www.21news.be/argentine-le-pari-gagnant-de-milei/</t>
  </si>
  <si>
    <t>Frédéric De Gucht étrille Bart De Wever : “Il doit encore apprendre à être Premier ministre”</t>
  </si>
  <si>
    <t>https://www.21news.be/frederic-de-gucht-etrille-bart-de-wever-il-doit-encore-apprendre-a-etre-premier-ministre/</t>
  </si>
  <si>
    <t>Cameroun : une victoire contestée de Paul Biya et un régime fragilisé</t>
  </si>
  <si>
    <t>https://www.21news.be/cameroun-une-victoire-contestee-de-paul-biya-et-un-regime-fragilise/</t>
  </si>
  <si>
    <t>Pierre Gentillet, professeur de droit à la Sorbonne, dans le viseur d’étudiants d’extrême gauche</t>
  </si>
  <si>
    <t>https://www.21news.be/pierre-gentillet-professeur-de-droit-a-la-sorbonne-dans-le-viseur-detudiants-dextreme-gauche/</t>
  </si>
  <si>
    <t>Donald Trump écarte l’idée d’une vice-présidence en 2028 : « Ce ne serait pas bien. »</t>
  </si>
  <si>
    <t>https://www.21news.be/donald-trump-ecarte-lidee-dune-vice-presidence-en-2028-ce-ne-serait-pas-bien/</t>
  </si>
  <si>
    <t>Immigration en Allemagne : Friedrich Merz pointe le « problème du paysage urbain »</t>
  </si>
  <si>
    <t>https://www.21news.be/allemagne-friedrich-merz-pointe-le-probleme-du-paysage-urbain/</t>
  </si>
  <si>
    <t>Pas d’accord entre les négociateurs bruxellois</t>
  </si>
  <si>
    <t>https://www.21news.be/pas-daccord-entre-les-negociateurs-bruxellois/</t>
  </si>
  <si>
    <t>Pour s'entraîner correctement les F-35 belges devront sortir de l'espace aérien de la Belgique</t>
  </si>
  <si>
    <t>https://www.21news.be/f-35-belges-entre-prouesses-technologiques-et-embarras-strategique/</t>
  </si>
  <si>
    <t>La bourgmestre d’Anvers Els Van Doesburg éconduit un prédicateur antisémite à Anvers</t>
  </si>
  <si>
    <t>https://www.21news.be/la-bourgmestre-danvers-els-van-doesburg-econduit-un-predicateur-antisemite-a-anvers/</t>
  </si>
  <si>
    <t>Fin du permis à vie : l’Union européenne harmonise les règles de conduite</t>
  </si>
  <si>
    <t>https://www.21news.be/fin-du-permis-a-vie-lunion-europeenne-harmonise-les-regles-de-conduite/</t>
  </si>
  <si>
    <t>Donald Trump contre le Canada : il rompt les négociations commerciales après une publicité controversée</t>
  </si>
  <si>
    <t>https://www.21news.be/donald-trump-contre-le-canada-il-rompt-les-negociations-commerciales-apres-une-publicite-controversee/</t>
  </si>
  <si>
    <t>Paris, Vienne et La Haye réclament de Bruxelles un contrôle des fonds européens versés aux ONG liées aux Frères musulmans</t>
  </si>
  <si>
    <t>https://www.21news.be/paris-vienne-et-la-haye-reclament-de-bruxelles-un-controle-des-fonds-europeens-verses-aux-ong-liees-aux-freres-musulmans/</t>
  </si>
  <si>
    <t>Wouter Verschelden : “La Belgique est dirigée par des caractères avant de l’être par des partis”</t>
  </si>
  <si>
    <t>https://www.21news.be/wouter-verschelden-la-belgique-est-dirigee-par-des-caracteres-avant-de-letre-par-des-partis/</t>
  </si>
  <si>
    <t>Droits d’enregistrement : désaccord entre Thomas Dermine et Adrien Dolimont sur la réforme</t>
  </si>
  <si>
    <t>https://www.21news.be/droits-denregistrement-desaccord-entre-thomas-dermine-et-adrien-dolimont-sur-la-reforme/</t>
  </si>
  <si>
    <t>Pour Prévot, une chute du gouvernement "n'est pas à exclure" : l’ombre d’une crise budgétaire plane sur l’Arizona</t>
  </si>
  <si>
    <t>https://www.21news.be/pour-prevot-une-chute-du-gouvernement-nest-pas-a-exclure-lombre-dune-crise-budgetaire-plane-sur-larizona/</t>
  </si>
  <si>
    <t>Marine Tondelier officialise sa candidature à la présidentielle de 2027</t>
  </si>
  <si>
    <t>https://www.21news.be/marine-tondelier-officialise-sa-candidature-a-la-presidentielle-de-2027/</t>
  </si>
  <si>
    <t>« L’État micro-manager étouffe l’école »</t>
  </si>
  <si>
    <t>https://www.21news.be/letat-micro-manager-etouffe-lecole/</t>
  </si>
  <si>
    <t>Paul Magnette dénonce une « rage taxatoire » du gouvernement De Wever</t>
  </si>
  <si>
    <t>https://www.21news.be/paul-magnette-denonce-une-rage-taxatoire-du-gouvernement-de-wever/</t>
  </si>
  <si>
    <t>Pour la troisième fois Edouard Philippe demande à Macron de partir</t>
  </si>
  <si>
    <t>https://www.21news.be/pour-la-troisieme-fois-edouard-philippe-demande-a-macron-de-partir/</t>
  </si>
  <si>
    <t>Passe d’armes entre le MR et un échevin molenbeekois qui relance le débat sur la maîtrise des langues</t>
  </si>
  <si>
    <t>https://www.21news.be/passe-darmes-entre-le-mr-et-un-echevin-molenbeekois-qui-relance-le-debat-sur-la-maitrise-des-langues/</t>
  </si>
  <si>
    <t>Alexander De Croo “reclassé” à l’ONU : un outplacement cinq étoiles</t>
  </si>
  <si>
    <t>https://www.21news.be/alexander-de-croo-reclasse-a-lonu-un-outplacement-cinq-etoiles/</t>
  </si>
  <si>
    <t>Voici le salaire qu’Alexander De Croo touchera pour son nouveau top job à l’ONU</t>
  </si>
  <si>
    <t>https://www.21news.be/voici-le-salaire-qualexander-de-croo-touchera-pour-son-nouveau-top-job-a-lonu/</t>
  </si>
  <si>
    <t>Réforme des APE : la Wallonie taille dans ses aides à l’emploi</t>
  </si>
  <si>
    <t>https://www.21news.be/reforme-des-ape-la-wallonie-taille-dans-ses-aides-a-lemploi/</t>
  </si>
  <si>
    <t>Exécutions par le Hamas : nouvelle polémique autour de Rima Hassan</t>
  </si>
  <si>
    <t>https://www.21news.be/executions-par-le-hamas-nouvelle-polemique-autour-de-rima-hassan/</t>
  </si>
  <si>
    <t>Budget soins de santé 2026 : le grand coup de rabot de Frank Vandenbroucke</t>
  </si>
  <si>
    <t>https://www.21news.be/budget-soins-de-sante-2026-le-grand-coup-de-rabot-de-frank-vandenbroucke/</t>
  </si>
  <si>
    <t>Formation bruxelloise : pour David Leisterh, "ce sera une semaine de vérité"</t>
  </si>
  <si>
    <t>https://www.21news.be/formation-bruxelloise-pour-david-leisterh-ce-sera-une-semaine-de-verite/</t>
  </si>
  <si>
    <t>Budget fédéral : le « tout pour le tout » de Bart De Wever</t>
  </si>
  <si>
    <t>https://www.21news.be/budget-federal-le-tout-pour-le-tout-de-bart-de-wever/</t>
  </si>
  <si>
    <t>Le président élu Rodrigo Paz met fin à vingt ans de socialisme en Bolivie</t>
  </si>
  <si>
    <t>https://www.21news.be/le-president-elu-rodrigo-paz-met-fin-a-vingt-ans-de-socialisme-en-bolivie/</t>
  </si>
  <si>
    <t>Jacqueline Galant veut plus contrôler les malades de longue durée</t>
  </si>
  <si>
    <t>https://www.21news.be/jacqueline-galant-veut-plus-controler-les-malades-de-longue-duree/</t>
  </si>
  <si>
    <t>Netanyahu affirme que la guerre prendra fin après le désarmement du Hamas</t>
  </si>
  <si>
    <t>https://www.21news.be/netanyahu-affirme-que-la-guerre-prendra-fin-apres-le-desarmement-du-hamas/</t>
  </si>
  <si>
    <t>Retraites : la France suspend, l’Europe recule</t>
  </si>
  <si>
    <t>https://www.21news.be/retraites-la-france-suspend-leurope-recule/</t>
  </si>
  <si>
    <t>Jean Dujardin : « Dire qu’on a un joli pays, c’est être taxé de facho »</t>
  </si>
  <si>
    <t>https://www.21news.be/jean-dujardin-dire-quon-a-un-joli-pays-cest-etre-taxe-de-facho/</t>
  </si>
  <si>
    <t>Édouard Philippe s’éloigne encore plus de Macron, et l’appelle à quitter l’Élysée</t>
  </si>
  <si>
    <t>https://www.21news.be/edouard-philippe-seloigne-encore-plus-de-macron-et-lappelle-a-quitter-lelysee/</t>
  </si>
  <si>
    <t>Lecornu échappe à la censure : un sursis politique à 18 voix près</t>
  </si>
  <si>
    <t>https://www.21news.be/lecornu-echappe-a-la-censure-un-sursis-politique-a-18-voix-pres/</t>
  </si>
  <si>
    <t>Bruxelles : plus de 600 jours sans gouvernement, ce qu’on oublie de dire (Chronique)</t>
  </si>
  <si>
    <t>https://www.21news.be/bruxelles-plus-de-600-jours-sans-gouvernement-ce-quon-oublie-de-dire-chronique/</t>
  </si>
  <si>
    <t>La gauche recycle ses échecs et demande aux jeunes d’y croire encore (Carte blanche)</t>
  </si>
  <si>
    <t>https://www.21news.be/la-gauche-recycle-ses-echecs-et-demande-aux-jeunes-dy-croire-encore-carte-blanche/</t>
  </si>
  <si>
    <t>Une « Bruxelles militaire », c’est une Belgique qui compte dans un monde tripolaire (carte blanche)</t>
  </si>
  <si>
    <t>https://www.21news.be/une-bruxelles-militaire-cest-une-belgique-qui-compte-dans-un-monde-tripolaire-carte-blanche/</t>
  </si>
  <si>
    <t>Le problème n’est pas de dire que la RTBF est de gauche. Le problème, c’est qu’elle soit de gauche (Édito)</t>
  </si>
  <si>
    <t>https://www.21news.be/le-probleme-nest-pas-de-dire-que-la-rtbf-est-de-gauche-le-probleme-cest-quelle-soit-de-gauche-edito/</t>
  </si>
  <si>
    <t>Assez du tabou sur les Juifs et l'argent (carte blanche)</t>
  </si>
  <si>
    <t>https://www.21news.be/assez-du-tabou-sur-les-juifs-et-largent-carte-blanche/</t>
  </si>
  <si>
    <t>Démocratie : le pacte de vengeance (Chronique)</t>
  </si>
  <si>
    <t>https://www.21news.be/democratie-le-pacte-de-vengeance-chronique/</t>
  </si>
  <si>
    <t>Non, la gauche n’a pas le monopole du cœur (Carte blanche)</t>
  </si>
  <si>
    <t>https://www.21news.be/non-la-gauche-na-pas-le-monopole-du-coeur-carte-blanche/</t>
  </si>
  <si>
    <t>Mettre le MR dans le même sac que les nazis : quand l’ignorance devient un délit (Carte blanche)</t>
  </si>
  <si>
    <t>https://www.21news.be/mettre-le-mr-dans-le-meme-sac-que-les-nazis-quand-lignorance-devient-un-delit-carte-blanche/</t>
  </si>
  <si>
    <t>Les gouvernements taxent pour décourager certains comportements, mais pensent qu’en taxant le travail on travaillera davantage (Opinion)</t>
  </si>
  <si>
    <t>https://www.21news.be/opinion-les-gouvernements-taxent-pour-decourager-certains-comportements-mais-pensent-quen-taxant-le-travail-on-travaillera-davantage/</t>
  </si>
  <si>
    <t>Le drapeau palestinien, étendard détourné de l’ultra-gauche violente (Opinion)</t>
  </si>
  <si>
    <t>https://www.21news.be/le-drapeau-palestinien-etendard-detourne-de-lultra-gauche-violente-opinion/</t>
  </si>
  <si>
    <t>Boycott de l’Eurovision : pourquoi Israël et pas l’Azerbaïdjan ? (Opinion)</t>
  </si>
  <si>
    <t>https://www.21news.be/boycott-de-leurovision-pourquoi-israel-et-pas-lazerbaidjan-opinion/</t>
  </si>
  <si>
    <t>Peut-on encore parler de tout dans la presse francophone ? Les grandes différences avec la Flandre… (Édito)</t>
  </si>
  <si>
    <t>https://www.21news.be/peut-on-encore-parler-de-tout-dans-la-presse-francophone-les-grandes-differences-avec-la-flandre-edito/</t>
  </si>
  <si>
    <t>Et si le vrai courage politique était d’exiger et non d’offrir ? (Carte blanche)</t>
  </si>
  <si>
    <t>https://www.21news.be/et-si-le-vrai-courage-politique-etait-dexiger-et-non-doffrir-carte-blanche/</t>
  </si>
  <si>
    <t>Rik Torfs sur la condamnation de 21News : « Le Conseil de déontologie journalistique prouve que J.D. Vance avait raison »</t>
  </si>
  <si>
    <t>https://www.21news.be/rik-torfs-apres-la-condamnation-de-21news-le-conseil-de-deontologie-journalistique-prouve-que-j-d-vance-avait-raison/</t>
  </si>
  <si>
    <t>La banalisation du mot "fascisme" chez les jeunes s'invite au Parlement</t>
  </si>
  <si>
    <t>https://www.21news.be/la-banalisation-du-mot-fascisme-chez-les-jeunes-sinvite-au-parlement/</t>
  </si>
  <si>
    <t>21News et le discours de Vance sur la liberté d’expression fortement évoqué par les médias.</t>
  </si>
  <si>
    <t>https://www.21news.be/21news-et-le-discours-de-vance-sur-la-liberte-dexpression-fortement-evoque-par-les-medias/</t>
  </si>
  <si>
    <t>Ministre Van Bossuyt : « Les étudiants internationaux sont les bienvenus, mais ils doivent pouvoir financer eux-mêmes leurs études »</t>
  </si>
  <si>
    <t>https://www.21news.be/visa-etudiant-belgique-van-bossuyt-conditions-financieres/</t>
  </si>
  <si>
    <t>ULB : après une conférence sur la radicalisation étudiante, le professeur Éric Muraille visé par des appels à sanction</t>
  </si>
  <si>
    <t>https://www.21news.be/ulb-apres-une-conference-sur-la-radicalisation-etudiante-le-professeur-eric-muraille-vise-par-des-appels-a-sanction/</t>
  </si>
  <si>
    <t>« Ligne rouge franchie » : Denis Ducarme poursuit les auteurs de montages nazis</t>
  </si>
  <si>
    <t>https://www.21news.be/ligne-rouge-franchie-denis-ducarme-poursuit-les-auteurs-de-montages-nazis/</t>
  </si>
  <si>
    <t>Dauphins, lobbying et rivalités politiques : l’affaire Pairi Daiza secoue (un peu) la majorité wallonne</t>
  </si>
  <si>
    <t>https://www.21news.be/dauphins-lobbying-et-rivalites-politiques-laffaire-pairi-daiza-secoue-un-peu-la-majorite-wallonne/</t>
  </si>
  <si>
    <t>Neutralité de l’école publique : un post sur le ramadan relance le débat au Parlement</t>
  </si>
  <si>
    <t>https://www.21news.be/neutralite-de-lecole-publique-un-post-sur-le-ramadan-relance-le-debat-au-parlement/</t>
  </si>
  <si>
    <t>Foire du Livre de Bruxelles : le Centre Jean Gol saisit la justice pour contester son exclusion</t>
  </si>
  <si>
    <t>https://www.21news.be/foire-du-livre-de-bruxelles-le-centre-jean-gol-saisit-la-justice-pour-contester-son-exclusion/</t>
  </si>
  <si>
    <t>Invitée par l'ULB, Nora Bussigny a détaillé son enquête sur les infiltrations étrangères qui gangrènent nos universités</t>
  </si>
  <si>
    <t>https://www.21news.be/ulb-un-colloque-sous-haute-tension-sur-lentrisme-militant-dans-les-universites/</t>
  </si>
  <si>
    <t>Réforme du chômage : un exclu sur cinq s’est tourné vers le CPAS en janvier</t>
  </si>
  <si>
    <t>https://www.21news.be/reforme-du-chomage-un-exclu-sur-cinq-sest-tourne-vers-le-cpas-en-janvier/</t>
  </si>
  <si>
    <t>Argent et football : les Francs Borains annoncent un dispositif anti-blanchiment renforcé</t>
  </si>
  <si>
    <t>https://www.21news.be/argent-et-football-les-francs-borains-annoncent-un-dispositif-anti-blanchiment-renforce/</t>
  </si>
  <si>
    <t>Foire du livre de Bruxelles : la direction propose une réunion pour apaiser la crise avec le MR</t>
  </si>
  <si>
    <t>https://www.21news.be/foire-du-livre-de-bruxelles-la-direction-propose-une-reunion-pour-apaiser-la-crise-avec-le-mr/</t>
  </si>
  <si>
    <t>Crise iranienne : MR et N-VA face au centre-gauche, la majorité Arizona sous pression</t>
  </si>
  <si>
    <t>https://www.21news.be/crise-iranienne-mr-et-n-va-face-au-centre-gauche-la-majorite-arizona-sous-pression/</t>
  </si>
  <si>
    <t>Compensations Plan Marshall : pas de nouvelle taxe en 2026, la réforme reportée à 2027</t>
  </si>
  <si>
    <t>https://www.21news.be/compensations-plan-marshall-pas-de-nouvelle-taxe-en-2026-la-reforme-reportee-a-2027/</t>
  </si>
  <si>
    <t>Réforme de la 6e primaire : ce qui change pour le CEB et le passage en secondaire</t>
  </si>
  <si>
    <t>https://www.21news.be/reforme-de-la-6e-primaire-ce-qui-change-pour-le-ceb-et-le-passage-en-secondaire/</t>
  </si>
  <si>
    <t>Foire du Livre : Philippe Close dément un « avis négatif » de la police</t>
  </si>
  <si>
    <t>https://www.21news.be/foire-du-livre-philippe-close-dement-un-avis-negatif-de-la-police/</t>
  </si>
  <si>
    <t>26.000 Belges dans la région : Maxime Prévot active un plan d’évacuation au Moyen-Orient</t>
  </si>
  <si>
    <t>https://www.21news.be/26-000-belges-dans-la-region-maxime-prevot-active-un-plan-devacuation-au-moyen-orient/</t>
  </si>
  <si>
    <t>Foire du Livre : le MR dénonce une « censure politique » et annonce des actions en justice</t>
  </si>
  <si>
    <t>https://www.21news.be/foire-du-livre-le-mr-denonce-une-censure-politique-et-annonce-des-actions-en-justice/</t>
  </si>
  <si>
    <t>Violences à Liège : Elisabeth Degryse refuse de couper les vivres aux Antifascistes</t>
  </si>
  <si>
    <t>https://www.21news.be/violences-a-liege-elisabeth-deryse-refuse-de-couper-les-vivres-aux-collectifs-antifascistes/</t>
  </si>
  <si>
    <t>La Belgique bientôt sous la protection du "parapluie" nucléaire français</t>
  </si>
  <si>
    <t>https://www.21news.be/la-belgique-bientot-sous-la-protection-du-parapluie-nucleaire-francais/</t>
  </si>
  <si>
    <t>Foire du livre: l'insoutenable "prime" aux violents (Analyse)</t>
  </si>
  <si>
    <t>https://www.21news.be/foire-du-livre-linsoutenable-prime-aux-violents-analyse/</t>
  </si>
  <si>
    <t>RTBF: Jacqueline Galant condamne toute comparaison avec la Gestapo et défend Georges-Louis Bouchez</t>
  </si>
  <si>
    <t>https://www.21news.be/rtbf-jacqueline-galant-condamne-toute-comparaison-avec-la-gestapo-et-defend-georges-louis-bouchez/</t>
  </si>
  <si>
    <t>L’Iran des mollahs, à l’origine de l’islamo-gauchisme : ce qui explique le malaise de la gauche</t>
  </si>
  <si>
    <t>https://www.21news.be/liran-des-mollahs-a-lorigine-de-lislamo-gauchisme-ce-qui-explique-le-malaise-de-la-gauche/</t>
  </si>
  <si>
    <t>Majorité divisée sur la guerre en Iran : « action justifiée » ou « nouvelle guerre illégale » ?</t>
  </si>
  <si>
    <t>https://www.21news.be/majorite-belge-divisee-sur-la-guerre-en-iran/</t>
  </si>
  <si>
    <t>Andy Pieters (N-VA) : « On ne peut pas gouverner pendant des années et faire comme si l’on venait d’arriver. »</t>
  </si>
  <si>
    <t>https://www.21news.be/andy-pieters-interview-partie-2/</t>
  </si>
  <si>
    <t>Andy Pieters (N-VA) : « Verser des allocations pendant des années sans accompagnement n’aide personne. »</t>
  </si>
  <si>
    <t>https://www.21news.be/andy-pieters-interview-partie-1/</t>
  </si>
  <si>
    <t>Fraudes en série : 67 milliards au niveau européen, 414 millions récupérés en Belgique</t>
  </si>
  <si>
    <t>https://www.21news.be/fraude-en-europe/</t>
  </si>
  <si>
    <t>CDJ : Discours de Vance sur la liberté d'expression à Munich</t>
  </si>
  <si>
    <t>https://www.21news.be/cdj-discours-de-vance-sur-la-liberte-dexpression-a-munich/</t>
  </si>
  <si>
    <t>« Le chien retire sa laisse » : le député Jori Dupont rompt avec le PTB</t>
  </si>
  <si>
    <t>https://www.21news.be/le-chien-retire-sa-laisse-le-depute-jori-dupont-rompt-avec-le-ptb/</t>
  </si>
  <si>
    <t>Foire du Livre : le Centre Jean Gol écarté pour des raisons de « sécurité », le MR dénonce une censure politique</t>
  </si>
  <si>
    <t>https://www.21news.be/foire-du-livre-le-centre-jean-gol-ecarte-pour-des-raisons-de-securite-le-mr-denonce-une-censure-politique/</t>
  </si>
  <si>
    <t>Prévot : l’attaque américano-israélienne contraire au droit international mais justifiée pour la sécurité mondiale et la protection du peuple iranien</t>
  </si>
  <si>
    <t>https://www.21news.be/prevot-lattaque-americano-israelienne-contraire-au-droit-international-mais-justifiee-pour-la-securite-mondiale-et-la-protection-du-peuple-iranien/</t>
  </si>
  <si>
    <t>Coulisses du casting bruxellois : Dilliès, Mampaka, Hublet, Lalieux… le secret des nominations</t>
  </si>
  <si>
    <t>https://www.21news.be/coulisses-du-casting-bruxellois-dillies-mampaka-hublet-lalieux-le-secret-des-nominations/</t>
  </si>
  <si>
    <t>Manifestation à Bruxelles en soutien au peuple iranien</t>
  </si>
  <si>
    <t>https://www.21news.be/manifestation-a-bruxelles-en-soutien-au-peuple-iranien/</t>
  </si>
  <si>
    <t>Opération nocturne contre la flotte fantôme russe : un pétrolier saisi</t>
  </si>
  <si>
    <t>https://www.21news.be/operation-nocturne-contre-la-flotte-fantome-russe-un-petrolier-saisi/</t>
  </si>
  <si>
    <t>"Chat Control" et "Money Control", prochaines étapes vers un impérialisme réglementaire</t>
  </si>
  <si>
    <t>https://www.21news.be/chat-control-et-money-control-prochaines-etapes-vers-un-imperialisme-reglementaire/</t>
  </si>
  <si>
    <t>Le professeur radicalement pro-palestinien Harry Pettit trouve refuge à la VUB</t>
  </si>
  <si>
    <t>https://www.21news.be/le-professeur-radicalement-pro-palestinien-harry-pettit-trouve-refuge-a-la-vub/</t>
  </si>
  <si>
    <t>Prolongation des centrales nucléaires après 2035 : Engie pose ses conditions</t>
  </si>
  <si>
    <t>https://www.21news.be/energie-nucleaire/</t>
  </si>
  <si>
    <t>Aujourd’hui une décision d’entreprise, demain un problème budgétaire : Proximus n’est pas une exception, c’est un signal</t>
  </si>
  <si>
    <t>https://www.21news.be/proximus-supprime-1-200-emplois/</t>
  </si>
  <si>
    <t>Proximus taille dans ses effectifs : 1.200 postes en moins d’ici 2030 et un signal d’alarme pour le modèle</t>
  </si>
  <si>
    <t>https://www.21news.be/proximus-taille-dans-ses-effectifs-1-200-postes-en-moins-dici-2030-et-un-signal-dalarme-pour-le-modele/</t>
  </si>
  <si>
    <t>Conférence contestée à l’ULB : derrière la polémique, la bataille du débat universitaire</t>
  </si>
  <si>
    <t>https://www.21news.be/conference-contestee-a-lulb-derriere-la-polemique-la-bataille-du-debat-universitaire/</t>
  </si>
  <si>
    <t>La Cour constitutionnelle freine le tour de vis migratoire du gouvernement</t>
  </si>
  <si>
    <t>https://www.21news.be/la-cour-constitutionnelle-freine-le-tour-de-vis-migratoire-du-gouvernement/</t>
  </si>
  <si>
    <t>Georges-Louis Bouchez supprimerait bien la RTBF...</t>
  </si>
  <si>
    <t>https://www.21news.be/georges-louis-bouchez-supprimerait-bien-la-rtbf/</t>
  </si>
  <si>
    <t>Réforme de la Cour constitutionnelle : la majorité des deux tiers pas forcément acquise</t>
  </si>
  <si>
    <t>https://www.21news.be/reforme-de-la-cour-constitutionnelle-la-majorite-des-deux-tiers-pas-forcement-acquise/</t>
  </si>
  <si>
    <t>21News passe à la vitesse supérieure avec le lancement d’une édition néerlandophone</t>
  </si>
  <si>
    <t>https://www.21news.be/21news-passe-a-la-vitesse-superieure-avec-le-lancement-dune-edition-neerlandophone/</t>
  </si>
  <si>
    <t>Refondation du PS : grand chantier idéologique… ou théâtre politique ?</t>
  </si>
  <si>
    <t>https://www.21news.be/refondation-du-ps/</t>
  </si>
  <si>
    <t>« Cieltje Van Achter : “Sans liberté de la presse, pas de démocratie.” »</t>
  </si>
  <si>
    <t>https://www.21news.be/des-medias-forts-sont-le-fondement-dune-democratie-forte/</t>
  </si>
  <si>
    <t>L’engagement des femmes en politique, encore conditionnel ? (carte blanche)</t>
  </si>
  <si>
    <t>https://www.21news.be/lengagement-des-femmes-en-politique-encore-conditionnel-carte-blanche/</t>
  </si>
  <si>
    <t>Réforme des pensions : "Aucun obstacle majeur"</t>
  </si>
  <si>
    <t>https://www.21news.be/reforme-des-pensions-aucun-obstacle-majeur/</t>
  </si>
  <si>
    <t>La N-VA veut abaisser la TVA de 21 à 6 % ou 9 % sur les nouvelles constructions</t>
  </si>
  <si>
    <t>https://www.21news.be/la-n-va-veut-abaisser-la-tva-de-21-a-6-ou-9-sur-les-nouvelles-constructions/</t>
  </si>
  <si>
    <t>Clémentine Barzin (MR) : "Fouad Ahidar m'a réduite à mon statut de femme de..."</t>
  </si>
  <si>
    <t>https://www.21news.be/clementine-barzin-mr-fouad-ahidar-ma-reduite-a-mon-statut-de-femme-de/</t>
  </si>
  <si>
    <t>Diamants belges : la fin de l’exception américaine, un choc pour Anvers</t>
  </si>
  <si>
    <t>https://www.21news.be/diamants-belges-la-fin-de-lexception-americaine-un-choc-pour-anvers/</t>
  </si>
  <si>
    <t>Antisémitisme : le wake-up call de Bill White (Édito)</t>
  </si>
  <si>
    <t>https://www.21news.be/antisemitisme-le-wake-up-call-de-bill-white-edito/</t>
  </si>
  <si>
    <t>Herman Brusselmans à nouveau blanchi dans une affaire liée aux lois antiracisme et négationnisme</t>
  </si>
  <si>
    <t>https://www.21news.be/herman-brusselmans-a-nouveau-blanchi-dans-une-affaire-liee-aux-lois-antiracisme-et-negationnisme/</t>
  </si>
  <si>
    <t>Près de 48 millions d’euros ont été levés lors du premier jour de souscription à la nouvelle émission de bons d’État</t>
  </si>
  <si>
    <t>https://www.21news.be/pres-de-48-millions-deuros-ont-ete-leves-lors-du-premier-jour-de-souscription-a-la-nouvelle-emission-de-bons-detat/</t>
  </si>
  <si>
    <t>Le MR poursuit son offensive à Bruxelles : Emmanuel De Bock quitte DéFI et rejoint les libéraux</t>
  </si>
  <si>
    <t>https://www.21news.be/le-mr-poursuit-son-offensive-a-bruxelles-emmanuel-de-bock-quitte-defi-et-rejoint-les-liberaux/</t>
  </si>
  <si>
    <t>Wallonie: la FGTB vole au secours des entreprises contre les nouvelles taxes</t>
  </si>
  <si>
    <t>https://www.21news.be/26873-2/</t>
  </si>
  <si>
    <t>Belgique – États-Unis : l’ex-ambassadeur Howard Gutman met en garde contre une crise diplomatique</t>
  </si>
  <si>
    <t>https://www.21news.be/belgique-etats-unis-lex-ambassadeur-howard-gutman-met-en-garde-contre-une-crise-diplomatique/</t>
  </si>
  <si>
    <t>De Sharia4Belgium à Samidoun : la nécessité de la loi Quintin (carte blanche)</t>
  </si>
  <si>
    <t>https://www.21news.be/de-sharia4belgium-a-samidoun-la-necessite-de-la-loi-quintin-carte-blanche/</t>
  </si>
  <si>
    <t>L'UCLouvain ouvre ses portes le 28 février</t>
  </si>
  <si>
    <t>https://www.21news.be/luclouvain-ouvre-ses-portes-le-28-fevrier/</t>
  </si>
  <si>
    <t>La KU Leuven renonce à l'attribution d'un doctorat honoris causa à Francesca Albanese</t>
  </si>
  <si>
    <t>https://www.21news.be/la-ku-leuven-renonce-a-lattribution-dun-doctorat-honoris-causa-a-francesca-albanese/</t>
  </si>
  <si>
    <t>Conner Rousseau : de la matraque aux comparaisons nazies (Carte blanche)</t>
  </si>
  <si>
    <t>https://www.21news.be/conner-rousseau-de-la-matraque-aux-comparaisons-nazies-carte-blanche/</t>
  </si>
  <si>
    <t>L’érosion silencieuse de la vie juive en Belgique (Carte blanche)</t>
  </si>
  <si>
    <t>https://www.21news.be/lerosion-silencieuse-de-la-vie-juive-en-belgique-carte-blanche/</t>
  </si>
  <si>
    <t>Des photos pédopornographiques découvertes dans la cellule de Marc Dutroux à Nivelles</t>
  </si>
  <si>
    <t>https://www.21news.be/des-photos-pedopornographiques-decouvertes-dans-la-cellule-de-marc-dutroux-a-nivelles/</t>
  </si>
  <si>
    <t>Bill White critique Rousseau et Vandenbroucke « Deux hommes corrompus, tous deux contraints à la démission dans le déshonneur »</t>
  </si>
  <si>
    <t>https://www.21news.be/bill-white-critique-rousseau-et-vandenbroucke-deux-hommes-corrompus-tous-deux-contraints-a-la-demission-dans-le-deshonneur/</t>
  </si>
  <si>
    <t>Seule une poignée de prostituées sous contrat de travail</t>
  </si>
  <si>
    <t>https://www.21news.be/seule-une-poignee-de-prostituees-sous-contrat-de-travail/</t>
  </si>
  <si>
    <t>Pedro Facon (INAMI) : « Le système a dérapé pendant des décennies, il faut remettre les malades au travail »</t>
  </si>
  <si>
    <t>https://www.21news.be/pedro-facon-inami-le-systeme-a-derape-pendant-des-decennies-il-faut-remettre-les-malades-au-travail/</t>
  </si>
  <si>
    <t>Réforme des pensions : « Proportionnellement, ces 632 millions d’économies restent limités »</t>
  </si>
  <si>
    <t>https://www.21news.be/reforme-des-pensions-proportionnellement-ces-632-millions-deconomies-restent-limites/</t>
  </si>
  <si>
    <t>Les Belges consomment en moyenne 14 verres d’alcool par semaine</t>
  </si>
  <si>
    <t>https://www.21news.be/les-belges-consomment-en-moyenne-14-verres-dalcool-par-semaine/</t>
  </si>
  <si>
    <t>Vols signalés dans plusieurs clubs Basic-Fit à Bruxelles</t>
  </si>
  <si>
    <t>https://www.21news.be/vols-signales-dans-plusieurs-clubs-basic-fit-a-bruxelles/</t>
  </si>
  <si>
    <t>Genre et droits des femmes : une feuille de route commune entre Wallonie et FWB</t>
  </si>
  <si>
    <t>https://www.21news.be/genre-et-droits-des-femmes-une-feuille-de-route-commune-entre-wallonie-et-fwb/</t>
  </si>
  <si>
    <t>Dossier bruit aérien : l'erreur incroyable d'Alain Maron</t>
  </si>
  <si>
    <t>https://www.21news.be/dossier-bruit-aerien-lerreur-incroyable-dalain-maron/</t>
  </si>
  <si>
    <t>Pourquoi PS et MR ont évité le terrain miné de la neutralité à Bruxelles (Analyse)</t>
  </si>
  <si>
    <t>https://www.21news.be/pourquoi-ps-et-mr-ont-evite-le-terrain-mine-de-la-neutralite-a-bruxelles-analyse/</t>
  </si>
  <si>
    <t>Coopération ferroviaire belgo-néerlandaise : les corridors Anvers–Ruhr et Eindhoven–Bruxelles au cœur du « nouveau souffle »</t>
  </si>
  <si>
    <t>https://www.21news.be/cooperation-ferroviaire-belgo-neerlandaise-les-corridors-anvers-ruhr-et-eindhoven-bruxelles-au-coeur-du-nouveau-souffle/</t>
  </si>
  <si>
    <t>Enseignement qualifiant : 3,8 millions d’euros pour moderniser les équipements des écoles</t>
  </si>
  <si>
    <t>https://www.21news.be/enseignement-qualifiant-38-millions-deuros-pour-moderniser-les-equipements-des-ecoles/</t>
  </si>
  <si>
    <t>Nethys : le mail où l’entourage de Stéphane Moreau suggère une magistrate précise...</t>
  </si>
  <si>
    <t>https://www.21news.be/nethys-le-mail-ou-lentourage-de-stephane-moreau-suggere-une-magistrate-precise/</t>
  </si>
  <si>
    <t>Mort de José Van Dam : le baryton belge légendaire s’éteint à 85 ans</t>
  </si>
  <si>
    <t>https://www.21news.be/mort-de-jose-van-dam-le-baryton-belge-legendaire-seteint-a-85-ans/</t>
  </si>
  <si>
    <t>Coût des manifs “anti-Bouchez”: et si on appliquait le principe du « perturbateur-payeur » aux Antifas…</t>
  </si>
  <si>
    <t>https://www.21news.be/cout-des-manifs-anti-bouchez-et-si-on-appliquait-le-principe-du-perturbateur-payeur-aux-antifas/</t>
  </si>
  <si>
    <t>Gouvernement bruxellois : « DéFI est clairement au bord du gouffre, au bord de la disparition »</t>
  </si>
  <si>
    <t>https://www.21news.be/gouvernement-bruxellois-defi-est-clairement-au-bord-du-gouffre-au-bord-de-la-disparition/</t>
  </si>
  <si>
    <t>Van Quickenborne craint une hausse explosive des consultations du registre des comptes : « Cela risque de devenir un vaste fourre-tout »</t>
  </si>
  <si>
    <t>https://www.21news.be/van-quickenborne-craint-une-hausse-explosive-des-consultations-du-registre-des-comptes-cela-risque-de-devenir-un-vaste-fourre-tout/</t>
  </si>
  <si>
    <t>Fatigue, désintérêt,... quand la politique épuise (Carte blanche)</t>
  </si>
  <si>
    <t>https://www.21news.be/fatigue-desinteret-quand-la-politique-epuise-carte-blanche/</t>
  </si>
  <si>
    <t>Plus de 100.000 Ukrainiens réfugiés en Belgique : le système sous pression</t>
  </si>
  <si>
    <t>https://www.21news.be/plus-de-100-000-ukrainiens-refugies-en-belgique-le-systeme-sous-pression/</t>
  </si>
  <si>
    <t>Surpopulation carcérale : l’armée bientôt à la rescousse ?</t>
  </si>
  <si>
    <t>https://www.21news.be/surpopulation-carcerale-larmee-bientot-a-la-rescousse/</t>
  </si>
  <si>
    <t>Les cabinets de l’équipe bruxelloise de Boris Dilliès (MR) prennent forme</t>
  </si>
  <si>
    <t>https://www.21news.be/les-cabinets-de-lequipe-bruxelloise-de-boris-dillies-mr-prennent-forme/</t>
  </si>
  <si>
    <t>Plus de la moitié des Néerlandais estiment que la civilisation occidentale est menacée</t>
  </si>
  <si>
    <t>https://www.21news.be/plus-de-la-moitie-des-neerlandais-estiment-que-la-civilisation-occidentale-est-menacee/</t>
  </si>
  <si>
    <t>ICE comparé aux méthodes nazies : l’ambassadeur des Etats-Unis exige des excuses à Conner Rousseau sous peine d’interdiction d’entrée aux Etats-Unis</t>
  </si>
  <si>
    <t>https://www.21news.be/ice-compare-aux-methodes-nazies-lambassadeur-des-etats-unis-exige-des-excuses-a-conner-rousseau-sous-peine-dinterdiction-dentree-aux-etats-unis/</t>
  </si>
  <si>
    <t>Boris Dilliès fait de la sécurité sa priorité à Bruxelles : un virage assumé à droite</t>
  </si>
  <si>
    <t>https://www.21news.be/boris-dillies-fait-de-la-securite-sa-priorite-a-bruxelles-un-virage-assume-a-droite/</t>
  </si>
  <si>
    <t>« Les guerres se gagnent avec la logistique » : Francken fait de la Belgique un carrefour de l’OTAN et achète 3.000 camions</t>
  </si>
  <si>
    <t>https://www.21news.be/les-guerres-se-gagnent-avec-la-logistique-francken-fait-de-la-belgique-un-carrefour-de-lotan-et-achete-3-000-camions/</t>
  </si>
  <si>
    <t>« Il n’est jamais trop tard pour s’y mettre » : De Gucht réagit avec un clin d’œil au néerlandais de Dilliès</t>
  </si>
  <si>
    <t>https://www.21news.be/il-nest-jamais-trop-tard-pour-sy-mettre-de-gucht-reagit-avec-un-clin-doeil-au-neerlandais-de-dillies/</t>
  </si>
  <si>
    <t>RTBF : s’adapter ou disparaître ? (Carte blanche)</t>
  </si>
  <si>
    <t>https://www.21news.be/rtbf-sadapter-ou-disparaitre-carte-blanche/</t>
  </si>
  <si>
    <t>Reconstruire l'industrie en Ukraine : au-delà de l'aide, vers une production mesurable (Carte blanche)</t>
  </si>
  <si>
    <t>https://www.21news.be/reconstruire-lindustrie-en-ukraine-au-dela-de-laide-vers-une-production-mesurable-carte-blanche/</t>
  </si>
  <si>
    <t>Gaza : le paradis gaspillé (Carte blanche)</t>
  </si>
  <si>
    <t>https://www.21news.be/gaza-le-paradis-gaspille/</t>
  </si>
  <si>
    <t>Mort de Quentin : quand les antifascistes fragilisent le pacte démocratique (Carte blanche)</t>
  </si>
  <si>
    <t>https://www.21news.be/mort-de-quentin-quand-les-antifascistes-fragilisent-le-pacte-democratique-carte-blanche/</t>
  </si>
  <si>
    <t>La fin de Good Move : quand l’urbanisme reprend sa place face à la mobilité (Carte blanche)</t>
  </si>
  <si>
    <t>https://www.21news.be/la-fin-de-good-move-quand-lurbanisme-reprend-sa-place-face-a-la-mobilite-carte-blanche/</t>
  </si>
  <si>
    <t>La République des silences (Carte blanche)</t>
  </si>
  <si>
    <t>https://www.21news.be/la-republique-des-silences-carte-blanche/</t>
  </si>
  <si>
    <t>Les antifas de Liège sont punis, ce n'est que justice (Carte blanche)</t>
  </si>
  <si>
    <t>https://www.21news.be/les-antifas-de-liege-sont-punis-ce-nest-que-justice-carte-blanche/</t>
  </si>
  <si>
    <t>Affaire Epstein : chasse aux sorcières et hystérie collective (carte blanche)</t>
  </si>
  <si>
    <t>https://www.21news.be/affaire-epstein-chasse-aux-sorcieres-et-hysterie-collective-carte-blanche/</t>
  </si>
  <si>
    <t>La prise en otage de Bruxelles (Carte blanche)</t>
  </si>
  <si>
    <t>https://www.21news.be/la-prise-en-otage-de-bruxelles-carte-blanche/</t>
  </si>
  <si>
    <t>On n’interdit plus de parler… on interdit de penser à voix haute (Carte blanche)</t>
  </si>
  <si>
    <t>https://www.21news.be/on-ninterdit-plus-de-parler-on-interdit-de-penser-a-voix-haute-carte-blanche/</t>
  </si>
  <si>
    <t>1,5 M€ de subsides refusés : Créemploi menacée de disparition saisit le Conseil d’État (Carte blanche)</t>
  </si>
  <si>
    <t>https://www.21news.be/15-me-de-subsides-refuses-creemploi-menacee-de-disparition-saisit-le-conseil-detat-carte-blanche/</t>
  </si>
  <si>
    <t>Rojava : l’allié abandonné et la myopie stratégique européenne (carte blanche)</t>
  </si>
  <si>
    <t>https://www.21news.be/rojava-lallie-abandonne-et-la-myopie-strategique-europeenne-carte-blanche/</t>
  </si>
  <si>
    <t>De Molenbeek à Bruxelles, l’échec devient la norme (carte blanche)</t>
  </si>
  <si>
    <t>https://www.21news.be/de-molenbeek-a-bruxelles-lechec-devient-la-norme-carte-blanche/</t>
  </si>
  <si>
    <t>Bruxelles au bord du gouffre : shutdown ou sursaut ? (carte blanche)</t>
  </si>
  <si>
    <t>https://www.21news.be/bruxelles-au-bord-du-gouffre-shutdown-ou-sursaut-carte-blanche/</t>
  </si>
  <si>
    <t>L'UE ne peut pas changer Trump, mais elle peut se changer elle-même (carte blanche)</t>
  </si>
  <si>
    <t>https://www.21news.be/lue-ne-peut-pas-changer-trump-mais-elle-peut-se-changer-elle-meme-carte-blanche/</t>
  </si>
  <si>
    <t>Non, travailler n’est pas un gros mot (carte blanche)</t>
  </si>
  <si>
    <t>https://www.21news.be/non-travailler-nest-pas-un-gros-mot-carte-blanche/</t>
  </si>
  <si>
    <t>Aujourd’hui, les vivants marchent dans les rues d’Iran (Carte blanche)</t>
  </si>
  <si>
    <t>https://www.21news.be/aujourdhui-les-vivants-marchent-dans-les-rues-diran-carte-blanche/</t>
  </si>
  <si>
    <t>La droite veut créer de l’emploi, la gauche des taxes (carte blanche)</t>
  </si>
  <si>
    <t>https://www.21news.be/la-droite-veut-creer-de-lemploi-la-gauche-des-taxes/</t>
  </si>
  <si>
    <t>Cancel culture : le déni démocratique se poursuit au Conseil communal de Wavre, une opinion du Collectif Femmes Wavre (carte blanche)</t>
  </si>
  <si>
    <t>https://www.21news.be/cancel-culture-le-deni-democratique-se-poursuit-au-conseil-communal-de-wavre-une-opinion-du-collectif-femmes-wavre-carte-blanche/</t>
  </si>
  <si>
    <t>Le droit international comme alibi de la lâcheté (Carte blanche)</t>
  </si>
  <si>
    <t>https://www.21news.be/le-droit-international-comme-alibi-de-la-lachete-carte-blanche/</t>
  </si>
  <si>
    <t>2026 : quand l’économie d’abondance rencontre la géopolitique de la rareté (carte blanche)</t>
  </si>
  <si>
    <t>https://www.21news.be/2026-quand-leconomie-dabondance-rencontre-la-geopolitique-de-la-rarete/</t>
  </si>
  <si>
    <t>Vous avez vu... (carte blanche)</t>
  </si>
  <si>
    <t>https://www.21news.be/vous-avez-vu-carte-blanche/</t>
  </si>
  <si>
    <t>2026, l’année où le monde révèle son vrai visage (carte blanche)</t>
  </si>
  <si>
    <t>https://www.21news.be/2026-lannee-ou-le-monde-revele-son-vrai-visage-carte-blanche/</t>
  </si>
  <si>
    <t>Un aperçu de la scène politique européenne en 2026 (Carte blanche)</t>
  </si>
  <si>
    <t>https://www.21news.be/un-apercu-de-la-scene-politique-europeenne-en-2026-carte-blanche/</t>
  </si>
  <si>
    <t>Donald Trump se désintéresse de l’OTAN : catastrophe ou chance unique ? (Carte blanche)</t>
  </si>
  <si>
    <t>https://www.21news.be/donald-trump-se-desinteresse-de-lotan-catastrophe-ou-chance-unique/</t>
  </si>
  <si>
    <t>Chaque francophone paie environ quatre-vingt euros par an pour financer la RTBF (Carte blanche)</t>
  </si>
  <si>
    <t>https://www.21news.be/chaque-francophone-paie-chaque-annee-environ-quatre-vingt-euros-pour-financer-la-rtbf/</t>
  </si>
  <si>
    <t>Belgique portes ouvertes : oser questionner la migration ou subir l’extrême-droite (carte blanche)</t>
  </si>
  <si>
    <t>https://www.21news.be/belgique-portes-ouvertes-oser-questionner-la-migration-ou-subir-lextreme-droite-carte-blanche/</t>
  </si>
  <si>
    <t>Tribune publique pour un jihadiste sur la RTBF : pourquoi ? (Carte blanche)</t>
  </si>
  <si>
    <t>https://www.21news.be/tribune-publique-pour-un-jihadiste-sur-la-rtbf-pourquoi-carte-blanche/</t>
  </si>
  <si>
    <t>Pourquoi le PS fait-il courir le bruit d'un Georges-Louis Bouchez ministre-président bruxellois ? (Carte blanche)</t>
  </si>
  <si>
    <t>https://www.21news.be/pourquoi-le-ps-fait-il-courir-le-bruit-dun-georges-louis-bouchez-ministre-president-bruxellois-carte-blanche/</t>
  </si>
  <si>
    <t>Avoirs russe : la Belgique contre le reste (Carte blanche)</t>
  </si>
  <si>
    <t>https://www.21news.be/avoirs-russe-la-belgique-contre-le-reste-carte-blanche/</t>
  </si>
  <si>
    <t>Deux poids, deux mesures (carte blanche)</t>
  </si>
  <si>
    <t>https://www.21news.be/deux-poids-deux-mesures-carte-blanche/</t>
  </si>
  <si>
    <t>Bruxelles, la capitale défigurée (carte blanche)</t>
  </si>
  <si>
    <t>https://www.21news.be/bruxelles-la-capitale-defiguree-carte-blanche/</t>
  </si>
  <si>
    <t>Boualem Sansal, la parole qui survit à l’obscurité (Carte blanche)</t>
  </si>
  <si>
    <t>https://www.21news.be/boualem-sansal-la-parole-qui-survit-a-lobscurite-carte-blanche/</t>
  </si>
  <si>
    <t>Pourquoi je ne fais pas grève (Carte blanche)</t>
  </si>
  <si>
    <t>https://www.21news.be/pourquoi-je-ne-fais-pas-greve-carte-blanche/</t>
  </si>
  <si>
    <t>Un feu de joie pour les politiques écologiques de l'UE ? (Carte blanche)</t>
  </si>
  <si>
    <t>https://www.21news.be/un-feu-de-joie-pour-les-politiques-ecologiques-de-lue/</t>
  </si>
  <si>
    <t>Sansal : quand la lâcheté se déguise en hauteur morale (Carte blanche)</t>
  </si>
  <si>
    <t>https://www.21news.be/sansal-quand-la-lachete-se-deguise-en-hauteur-morale-carte-blanche/</t>
  </si>
  <si>
    <t>L’IA peut-elle faire exploser Wall Street ? (Carte blanche) Partie II</t>
  </si>
  <si>
    <t>https://www.21news.be/lia-peut-elle-faire-exploser-wall-street-carte-blanche-partie-ii/</t>
  </si>
  <si>
    <t>L’IA peut-elle faire exploser Wall Street ? (Carte blanche) Partie I</t>
  </si>
  <si>
    <t>https://www.21news.be/lia-peut-elle-faire-exploser-wall-street-carte-blanche-partie-i/</t>
  </si>
  <si>
    <t>Antisémitisme et normes académiques en danger : ce que révèle la flambée d’activisme anti-israélien sur les campus (Carte blanche)</t>
  </si>
  <si>
    <t>https://www.21news.be/antisemitisme-et-normes-academiques-en-danger-ce-que-revele-la-flambee-dactivisme-anti-israelien-sur-les-campus-carte-blanche/</t>
  </si>
  <si>
    <t>Et si l’Europe cessait de subir ? (Carte blanche)</t>
  </si>
  <si>
    <t>https://www.21news.be/et-si-leurope-cessait-de-subir-carte-blanche/</t>
  </si>
  <si>
    <t>Quand la Belgique s’effondre sous le poids du compromis (Carte blanche)</t>
  </si>
  <si>
    <t>https://www.21news.be/quand-la-belgique-seffondre-sous-le-poids-du-compromis-carte-blanche/</t>
  </si>
  <si>
    <t>Les nouveaux dévots du renoncement (Carte blanche)</t>
  </si>
  <si>
    <t>https://www.21news.be/les-nouveaux-devots-du-renoncement-carte-blanche/</t>
  </si>
  <si>
    <t>Représenter sans comprendre : le cas Molenbeek (Carte blanche)</t>
  </si>
  <si>
    <t>https://www.21news.be/representer-sans-comprendre-le-cas-molenbeek-carte-blanche/</t>
  </si>
  <si>
    <t>Au sein de la Commission européenne, le climat reste tendu (Carte blanche)</t>
  </si>
  <si>
    <t>https://www.21news.be/au-sein-de-la-commission-europeenne-le-climat-reste-tendu-carte-blanche/</t>
  </si>
  <si>
    <t>Bruxelles, c’est déjà un peu Gaza (Opinion)</t>
  </si>
  <si>
    <t>https://www.21news.be/bruxelles-cest-deja-un-peu-gaza-opinion/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</si>
</sst>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1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archives.uclouvain.be/histoire-medecine/files/fullsize/a813a12df52949ffdc14a05d80eee2d1.jpg" TargetMode="External"/><Relationship Id="rId7" Type="http://schemas.openxmlformats.org/officeDocument/2006/relationships/hyperlink" Target="https://rrb.be/rrb/wp-content/uploads/2025/12/pres.png" TargetMode="External"/><Relationship Id="rId2" Type="http://schemas.openxmlformats.org/officeDocument/2006/relationships/hyperlink" Target="https://scontent-bru2-1.xx.fbcdn.net/v/t39.30808-6/527713122_24156027730685525_1543359397804974350_n.jpg?_nc_cat=102&amp;ccb=1-7&amp;_nc_sid=6ee11a&amp;_nc_ohc=i2HYOpvhJVAQ7kNvwFrLIGj&amp;_nc_oc=AdnTXnYlLfk0dV9tcDBcT9WCpj3hN_rdNNaNsK8lTYUdOj96ZdxbXb9iu46qj2Vi4R8&amp;_nc_zt=23&amp;_nc_ht=scontent-bru2-1.xx&amp;_nc_gid=Io1KHGe8e1HECd4zwAmqRg&amp;oh=00_AfoP_qGc-lQ27gaEgiiY5fcPWCYobaFcNCYUuOHOR0arzA&amp;oe=6976DCED" TargetMode="External"/><Relationship Id="rId1" Type="http://schemas.openxmlformats.org/officeDocument/2006/relationships/hyperlink" Target="https://scontent-bru2-1.xx.fbcdn.net/v/t39.30808-6/613195471_24638308565845107_842769831722255804_n.jpg?_nc_cat=107&amp;ccb=1-7&amp;_nc_sid=6ee11a&amp;_nc_ohc=TXZiSd32NvoQ7kNvwEsWOAh&amp;_nc_oc=AdmhzNKN9FTGkvHRgT1KdhlVpWbeRQx-sZsPDGhxL99bAlUeWXLXhvrcMRL6N_-bLfM&amp;_nc_zt=23&amp;_nc_ht=scontent-bru2-1.xx&amp;_nc_gid=tVQO7waff5dCc65OiEYW_A&amp;oh=00_AfqYaOgfIvgKMOAHkocGIT5GA5fYroE7z8RThkUMfzpQhA&amp;oe=6976B443" TargetMode="External"/><Relationship Id="rId6" Type="http://schemas.openxmlformats.org/officeDocument/2006/relationships/hyperlink" Target="https://scontent-bru2-1.xx.fbcdn.net/v/t39.30808-6/420391281_10161611238815742_5085160447608714690_n.jpg?_nc_cat=110&amp;ccb=1-7&amp;_nc_sid=6ee11a&amp;_nc_ohc=KiVsGBMwCb8Q7kNvwGu-y6P&amp;_nc_oc=AdmLGKrfitVFybsh7mtvIL1eiVUcmADKvRos_1B45PQmFmSbn4CTAMKs5vdIIDQXdDI&amp;_nc_zt=23&amp;_nc_ht=scontent-bru2-1.xx&amp;_nc_gid=HEEMiDw4-KHQhp_lwvWwpA&amp;oh=00_AfoebfEwTCFR83oo3rHihgYJnaLvhD9ceFIXjZBCPORRxg&amp;oe=698108BB" TargetMode="External"/><Relationship Id="rId5" Type="http://schemas.openxmlformats.org/officeDocument/2006/relationships/hyperlink" Target="https://www.21news.be/wp-content/uploads/2026/01/cropped-Harrison-du-Bus-100x100.jpg" TargetMode="External"/><Relationship Id="rId4" Type="http://schemas.openxmlformats.org/officeDocument/2006/relationships/hyperlink" Target="https://external-content.duckduckgo.com/iu/?u=https%3A%2F%2Fspgeng.rosselcdn.net%2Fsites%2Fdefault%2Ffiles%2Fdpistyles_v2%2Fsp_664w%2F2024%2F11%2F04%2Fnode_909398%2F56011785%2Fpublic%2F2024%2F11%2F04%2F28954395.jpeg%3Fitok%3DGpdj9j4M1730755677&amp;f=1&amp;nofb=1&amp;ipt=d2c998c381c38d5dae7bbfc2a735986503af41ff1e5130752ddc0c170d6632d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rretsurimages.net/articles/marie-estelle-dupont-psycho-couacs-a-droite-tou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0534-737A-47C0-885C-4169F085AAC6}">
  <dimension ref="A1:F12"/>
  <sheetViews>
    <sheetView workbookViewId="0">
      <selection sqref="A1:B12"/>
    </sheetView>
  </sheetViews>
  <sheetFormatPr baseColWidth="10" defaultRowHeight="15" x14ac:dyDescent="0.25"/>
  <cols>
    <col min="2" max="2" width="2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16</v>
      </c>
      <c r="C2" t="s">
        <v>16</v>
      </c>
      <c r="D2" t="s">
        <v>17</v>
      </c>
      <c r="E2" s="1" t="s">
        <v>30</v>
      </c>
      <c r="F2" t="s">
        <v>21</v>
      </c>
    </row>
    <row r="3" spans="1:6" x14ac:dyDescent="0.25">
      <c r="A3">
        <v>2</v>
      </c>
      <c r="B3" t="s">
        <v>6</v>
      </c>
      <c r="C3" t="s">
        <v>7</v>
      </c>
      <c r="D3" t="s">
        <v>17</v>
      </c>
      <c r="E3" s="1" t="s">
        <v>20</v>
      </c>
      <c r="F3" t="s">
        <v>22</v>
      </c>
    </row>
    <row r="4" spans="1:6" x14ac:dyDescent="0.25">
      <c r="A4">
        <v>3</v>
      </c>
      <c r="B4" t="s">
        <v>18</v>
      </c>
      <c r="C4" t="s">
        <v>7</v>
      </c>
      <c r="D4" t="s">
        <v>17</v>
      </c>
      <c r="E4" s="1" t="s">
        <v>19</v>
      </c>
      <c r="F4" t="s">
        <v>31</v>
      </c>
    </row>
    <row r="5" spans="1:6" x14ac:dyDescent="0.25">
      <c r="A5">
        <v>4</v>
      </c>
      <c r="B5" t="s">
        <v>23</v>
      </c>
      <c r="C5" t="s">
        <v>7</v>
      </c>
      <c r="D5" t="s">
        <v>26</v>
      </c>
      <c r="E5" s="1" t="s">
        <v>24</v>
      </c>
      <c r="F5" t="s">
        <v>25</v>
      </c>
    </row>
    <row r="6" spans="1:6" x14ac:dyDescent="0.25">
      <c r="A6">
        <v>5</v>
      </c>
      <c r="B6" t="s">
        <v>33</v>
      </c>
      <c r="C6" t="s">
        <v>35</v>
      </c>
      <c r="D6" t="s">
        <v>26</v>
      </c>
      <c r="E6" s="1" t="s">
        <v>34</v>
      </c>
      <c r="F6" t="s">
        <v>43</v>
      </c>
    </row>
    <row r="7" spans="1:6" x14ac:dyDescent="0.25">
      <c r="A7">
        <v>6</v>
      </c>
      <c r="B7" t="s">
        <v>41</v>
      </c>
      <c r="C7" t="s">
        <v>35</v>
      </c>
      <c r="D7" t="s">
        <v>26</v>
      </c>
      <c r="E7" s="1" t="s">
        <v>42</v>
      </c>
      <c r="F7" t="s">
        <v>44</v>
      </c>
    </row>
    <row r="8" spans="1:6" x14ac:dyDescent="0.25">
      <c r="A8">
        <v>7</v>
      </c>
      <c r="B8" t="s">
        <v>49</v>
      </c>
      <c r="C8" t="s">
        <v>7</v>
      </c>
    </row>
    <row r="9" spans="1:6" x14ac:dyDescent="0.25">
      <c r="A9">
        <v>8</v>
      </c>
      <c r="B9" t="s">
        <v>50</v>
      </c>
      <c r="C9" t="s">
        <v>7</v>
      </c>
    </row>
    <row r="10" spans="1:6" x14ac:dyDescent="0.25">
      <c r="A10">
        <v>9</v>
      </c>
      <c r="B10" t="s">
        <v>51</v>
      </c>
      <c r="C10" t="s">
        <v>35</v>
      </c>
      <c r="D10" t="s">
        <v>54</v>
      </c>
    </row>
    <row r="11" spans="1:6" x14ac:dyDescent="0.25">
      <c r="A11">
        <v>10</v>
      </c>
      <c r="B11" t="s">
        <v>52</v>
      </c>
      <c r="C11" t="s">
        <v>35</v>
      </c>
      <c r="D11" t="s">
        <v>54</v>
      </c>
      <c r="E11" s="1" t="s">
        <v>55</v>
      </c>
    </row>
    <row r="12" spans="1:6" x14ac:dyDescent="0.25">
      <c r="A12">
        <v>11</v>
      </c>
      <c r="B12" t="s">
        <v>53</v>
      </c>
      <c r="C12" t="s">
        <v>56</v>
      </c>
    </row>
  </sheetData>
  <hyperlinks>
    <hyperlink ref="E4" r:id="rId1" display="https://scontent-bru2-1.xx.fbcdn.net/v/t39.30808-6/613195471_24638308565845107_842769831722255804_n.jpg?_nc_cat=107&amp;ccb=1-7&amp;_nc_sid=6ee11a&amp;_nc_ohc=TXZiSd32NvoQ7kNvwEsWOAh&amp;_nc_oc=AdmhzNKN9FTGkvHRgT1KdhlVpWbeRQx-sZsPDGhxL99bAlUeWXLXhvrcMRL6N_-bLfM&amp;_nc_zt=23&amp;_nc_ht=scontent-bru2-1.xx&amp;_nc_gid=tVQO7waff5dCc65OiEYW_A&amp;oh=00_AfqYaOgfIvgKMOAHkocGIT5GA5fYroE7z8RThkUMfzpQhA&amp;oe=6976B443" xr:uid="{0E3F35C4-029F-4EA4-B085-DB8A00FB85CE}"/>
    <hyperlink ref="E3" r:id="rId2" display="https://scontent-bru2-1.xx.fbcdn.net/v/t39.30808-6/527713122_24156027730685525_1543359397804974350_n.jpg?_nc_cat=102&amp;ccb=1-7&amp;_nc_sid=6ee11a&amp;_nc_ohc=i2HYOpvhJVAQ7kNvwFrLIGj&amp;_nc_oc=AdnTXnYlLfk0dV9tcDBcT9WCpj3hN_rdNNaNsK8lTYUdOj96ZdxbXb9iu46qj2Vi4R8&amp;_nc_zt=23&amp;_nc_ht=scontent-bru2-1.xx&amp;_nc_gid=Io1KHGe8e1HECd4zwAmqRg&amp;oh=00_AfoP_qGc-lQ27gaEgiiY5fcPWCYobaFcNCYUuOHOR0arzA&amp;oe=6976DCED" xr:uid="{4912695D-9BEF-43F5-BD21-E655D76D21A1}"/>
    <hyperlink ref="E5" r:id="rId3" xr:uid="{C2977129-2CA5-4278-B805-F275E1D07A0D}"/>
    <hyperlink ref="E2" r:id="rId4" display="https://external-content.duckduckgo.com/iu/?u=https%3A%2F%2Fspgeng.rosselcdn.net%2Fsites%2Fdefault%2Ffiles%2Fdpistyles_v2%2Fsp_664w%2F2024%2F11%2F04%2Fnode_909398%2F56011785%2Fpublic%2F2024%2F11%2F04%2F28954395.jpeg%3Fitok%3DGpdj9j4M1730755677&amp;f=1&amp;nofb=1&amp;ipt=d2c998c381c38d5dae7bbfc2a735986503af41ff1e5130752ddc0c170d6632d7" xr:uid="{BD7092FC-0D18-4671-87F8-8382D90631AE}"/>
    <hyperlink ref="E6" r:id="rId5" xr:uid="{E02298AA-71A9-4FA3-A35F-D11A2E55C7EE}"/>
    <hyperlink ref="E7" r:id="rId6" display="https://scontent-bru2-1.xx.fbcdn.net/v/t39.30808-6/420391281_10161611238815742_5085160447608714690_n.jpg?_nc_cat=110&amp;ccb=1-7&amp;_nc_sid=6ee11a&amp;_nc_ohc=KiVsGBMwCb8Q7kNvwGu-y6P&amp;_nc_oc=AdmLGKrfitVFybsh7mtvIL1eiVUcmADKvRos_1B45PQmFmSbn4CTAMKs5vdIIDQXdDI&amp;_nc_zt=23&amp;_nc_ht=scontent-bru2-1.xx&amp;_nc_gid=HEEMiDw4-KHQhp_lwvWwpA&amp;oh=00_AfoebfEwTCFR83oo3rHihgYJnaLvhD9ceFIXjZBCPORRxg&amp;oe=698108BB" xr:uid="{FCF6D32F-8CA8-4485-9C68-C0B1DDFEC92B}"/>
    <hyperlink ref="E11" r:id="rId7" xr:uid="{A7320358-2C5D-44F6-AF20-D79DAE30204B}"/>
  </hyperlinks>
  <pageMargins left="0.7" right="0.7" top="0.75" bottom="0.75" header="0.3" footer="0.3"/>
  <pageSetup paperSize="9" orientation="portrait" horizontalDpi="4294967293" verticalDpi="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2F1A-6616-41C0-B30F-8368871171F9}">
  <dimension ref="A1:F389"/>
  <sheetViews>
    <sheetView tabSelected="1" workbookViewId="0">
      <selection activeCell="B12" sqref="B12"/>
    </sheetView>
  </sheetViews>
  <sheetFormatPr baseColWidth="10" defaultRowHeight="15" x14ac:dyDescent="0.25"/>
  <cols>
    <col min="2" max="2" width="112.28515625" customWidth="1"/>
    <col min="3" max="3" width="9.42578125" customWidth="1"/>
  </cols>
  <sheetData>
    <row r="1" spans="1:6" x14ac:dyDescent="0.25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t="s">
        <v>12</v>
      </c>
    </row>
    <row r="2" spans="1:6" x14ac:dyDescent="0.25">
      <c r="A2" s="3">
        <v>1</v>
      </c>
      <c r="B2" s="3" t="s">
        <v>65</v>
      </c>
      <c r="C2" s="3"/>
      <c r="D2" s="3" t="str">
        <f>"19/01/2026"</f>
        <v>19/01/2026</v>
      </c>
      <c r="E2" s="4" t="s">
        <v>40</v>
      </c>
    </row>
    <row r="3" spans="1:6" x14ac:dyDescent="0.25">
      <c r="A3" s="3">
        <v>2</v>
      </c>
      <c r="B3" s="3" t="s">
        <v>66</v>
      </c>
      <c r="C3" s="3"/>
      <c r="D3" s="3" t="str">
        <f>"15/01/2026"</f>
        <v>15/01/2026</v>
      </c>
      <c r="E3" s="4" t="s">
        <v>67</v>
      </c>
    </row>
    <row r="4" spans="1:6" x14ac:dyDescent="0.25">
      <c r="A4" s="3">
        <v>3</v>
      </c>
      <c r="B4" s="3" t="s">
        <v>68</v>
      </c>
      <c r="C4" s="3"/>
      <c r="D4" s="3" t="str">
        <f>"15/01/2026"</f>
        <v>15/01/2026</v>
      </c>
      <c r="E4" s="4" t="s">
        <v>69</v>
      </c>
    </row>
    <row r="5" spans="1:6" x14ac:dyDescent="0.25">
      <c r="A5" s="3">
        <v>4</v>
      </c>
      <c r="B5" s="3" t="s">
        <v>70</v>
      </c>
      <c r="C5" s="3"/>
      <c r="D5" s="3" t="str">
        <f>"15/01/2026"</f>
        <v>15/01/2026</v>
      </c>
      <c r="E5" s="4" t="s">
        <v>71</v>
      </c>
    </row>
    <row r="6" spans="1:6" x14ac:dyDescent="0.25">
      <c r="A6" s="3">
        <v>5</v>
      </c>
      <c r="B6" s="3" t="s">
        <v>72</v>
      </c>
      <c r="C6" s="3"/>
      <c r="D6" s="3" t="str">
        <f>"15/01/2026"</f>
        <v>15/01/2026</v>
      </c>
      <c r="E6" s="4" t="s">
        <v>73</v>
      </c>
    </row>
    <row r="7" spans="1:6" x14ac:dyDescent="0.25">
      <c r="A7" s="3">
        <v>6</v>
      </c>
      <c r="B7" s="3" t="s">
        <v>74</v>
      </c>
      <c r="C7" s="3"/>
      <c r="D7" s="3" t="str">
        <f>"14/01/2026"</f>
        <v>14/01/2026</v>
      </c>
      <c r="E7" s="4" t="s">
        <v>75</v>
      </c>
    </row>
    <row r="8" spans="1:6" x14ac:dyDescent="0.25">
      <c r="A8" s="3">
        <v>7</v>
      </c>
      <c r="B8" s="3" t="s">
        <v>76</v>
      </c>
      <c r="C8" s="3">
        <v>6</v>
      </c>
      <c r="D8" s="3" t="str">
        <f>"09/01/2026"</f>
        <v>09/01/2026</v>
      </c>
      <c r="E8" s="4" t="s">
        <v>77</v>
      </c>
    </row>
    <row r="9" spans="1:6" x14ac:dyDescent="0.25">
      <c r="A9" s="3">
        <v>8</v>
      </c>
      <c r="B9" s="3" t="s">
        <v>78</v>
      </c>
      <c r="C9" s="3"/>
      <c r="D9" s="3" t="str">
        <f>"08/01/2026"</f>
        <v>08/01/2026</v>
      </c>
      <c r="E9" s="4" t="s">
        <v>79</v>
      </c>
    </row>
    <row r="10" spans="1:6" x14ac:dyDescent="0.25">
      <c r="A10" s="3">
        <v>9</v>
      </c>
      <c r="B10" s="3" t="s">
        <v>80</v>
      </c>
      <c r="C10" s="3"/>
      <c r="D10" s="3" t="str">
        <f>"07/01/2026"</f>
        <v>07/01/2026</v>
      </c>
      <c r="E10" s="4" t="s">
        <v>81</v>
      </c>
    </row>
    <row r="11" spans="1:6" x14ac:dyDescent="0.25">
      <c r="A11" s="3">
        <v>10</v>
      </c>
      <c r="B11" s="3" t="s">
        <v>82</v>
      </c>
      <c r="C11" s="3"/>
      <c r="D11" s="3" t="str">
        <f>"01/01/2026"</f>
        <v>01/01/2026</v>
      </c>
      <c r="E11" s="4" t="s">
        <v>83</v>
      </c>
    </row>
    <row r="12" spans="1:6" x14ac:dyDescent="0.25">
      <c r="A12" s="3">
        <v>11</v>
      </c>
      <c r="B12" s="3" t="s">
        <v>84</v>
      </c>
      <c r="C12" s="3"/>
      <c r="D12" s="3" t="str">
        <f>"31/12/2025"</f>
        <v>31/12/2025</v>
      </c>
      <c r="E12" s="4" t="s">
        <v>85</v>
      </c>
    </row>
    <row r="13" spans="1:6" x14ac:dyDescent="0.25">
      <c r="A13" s="3">
        <v>12</v>
      </c>
      <c r="B13" s="3" t="s">
        <v>86</v>
      </c>
      <c r="C13" s="3"/>
      <c r="D13" s="3" t="str">
        <f>"30/12/2025"</f>
        <v>30/12/2025</v>
      </c>
      <c r="E13" s="4" t="s">
        <v>87</v>
      </c>
    </row>
    <row r="14" spans="1:6" x14ac:dyDescent="0.25">
      <c r="A14" s="3">
        <v>13</v>
      </c>
      <c r="B14" s="3" t="s">
        <v>88</v>
      </c>
      <c r="C14" s="3"/>
      <c r="D14" s="3" t="str">
        <f>"30/12/2025"</f>
        <v>30/12/2025</v>
      </c>
      <c r="E14" s="4" t="s">
        <v>89</v>
      </c>
    </row>
    <row r="15" spans="1:6" x14ac:dyDescent="0.25">
      <c r="A15" s="3">
        <v>14</v>
      </c>
      <c r="B15" s="3" t="s">
        <v>90</v>
      </c>
      <c r="C15" s="3"/>
      <c r="D15" s="3" t="str">
        <f>"26/12/2025"</f>
        <v>26/12/2025</v>
      </c>
      <c r="E15" s="4" t="s">
        <v>91</v>
      </c>
    </row>
    <row r="16" spans="1:6" x14ac:dyDescent="0.25">
      <c r="A16" s="3">
        <v>15</v>
      </c>
      <c r="B16" s="3" t="s">
        <v>92</v>
      </c>
      <c r="C16" s="3">
        <v>2</v>
      </c>
      <c r="D16" s="3" t="str">
        <f>"26/12/2025"</f>
        <v>26/12/2025</v>
      </c>
      <c r="E16" s="4" t="s">
        <v>93</v>
      </c>
    </row>
    <row r="17" spans="1:5" x14ac:dyDescent="0.25">
      <c r="A17" s="3">
        <v>16</v>
      </c>
      <c r="B17" s="3" t="s">
        <v>94</v>
      </c>
      <c r="C17" s="3"/>
      <c r="D17" s="3" t="str">
        <f>"23/12/2025"</f>
        <v>23/12/2025</v>
      </c>
      <c r="E17" s="4" t="s">
        <v>95</v>
      </c>
    </row>
    <row r="18" spans="1:5" x14ac:dyDescent="0.25">
      <c r="A18" s="3">
        <v>17</v>
      </c>
      <c r="B18" s="3" t="s">
        <v>96</v>
      </c>
      <c r="C18" s="3"/>
      <c r="D18" s="3" t="str">
        <f>"22/12/2025"</f>
        <v>22/12/2025</v>
      </c>
      <c r="E18" s="4" t="s">
        <v>97</v>
      </c>
    </row>
    <row r="19" spans="1:5" x14ac:dyDescent="0.25">
      <c r="A19" s="3">
        <v>18</v>
      </c>
      <c r="B19" s="3" t="s">
        <v>98</v>
      </c>
      <c r="C19" s="3"/>
      <c r="D19" s="3" t="str">
        <f>"21/12/2025"</f>
        <v>21/12/2025</v>
      </c>
      <c r="E19" s="4" t="s">
        <v>99</v>
      </c>
    </row>
    <row r="20" spans="1:5" x14ac:dyDescent="0.25">
      <c r="A20" s="3">
        <v>19</v>
      </c>
      <c r="B20" s="3" t="s">
        <v>100</v>
      </c>
      <c r="C20" s="3"/>
      <c r="D20" s="3" t="str">
        <f>"20/12/2025"</f>
        <v>20/12/2025</v>
      </c>
      <c r="E20" s="4" t="s">
        <v>101</v>
      </c>
    </row>
    <row r="21" spans="1:5" x14ac:dyDescent="0.25">
      <c r="A21" s="3">
        <v>20</v>
      </c>
      <c r="B21" s="3" t="s">
        <v>102</v>
      </c>
      <c r="C21" s="3"/>
      <c r="D21" s="3" t="str">
        <f>"17/12/2025"</f>
        <v>17/12/2025</v>
      </c>
      <c r="E21" s="4" t="s">
        <v>103</v>
      </c>
    </row>
    <row r="22" spans="1:5" x14ac:dyDescent="0.25">
      <c r="A22" s="3">
        <v>21</v>
      </c>
      <c r="B22" s="3" t="s">
        <v>104</v>
      </c>
      <c r="C22" s="3"/>
      <c r="D22" s="3" t="str">
        <f>"16/12/2025"</f>
        <v>16/12/2025</v>
      </c>
      <c r="E22" s="4" t="s">
        <v>105</v>
      </c>
    </row>
    <row r="23" spans="1:5" x14ac:dyDescent="0.25">
      <c r="A23" s="3">
        <v>22</v>
      </c>
      <c r="B23" s="3" t="s">
        <v>106</v>
      </c>
      <c r="C23" s="3"/>
      <c r="D23" s="3" t="str">
        <f>"16/12/2025"</f>
        <v>16/12/2025</v>
      </c>
      <c r="E23" s="4" t="s">
        <v>107</v>
      </c>
    </row>
    <row r="24" spans="1:5" x14ac:dyDescent="0.25">
      <c r="A24" s="3">
        <v>23</v>
      </c>
      <c r="B24" s="3" t="s">
        <v>108</v>
      </c>
      <c r="C24" s="3"/>
      <c r="D24" s="3" t="str">
        <f>"15/12/2025"</f>
        <v>15/12/2025</v>
      </c>
      <c r="E24" s="4" t="s">
        <v>109</v>
      </c>
    </row>
    <row r="25" spans="1:5" x14ac:dyDescent="0.25">
      <c r="A25" s="3">
        <v>24</v>
      </c>
      <c r="B25" s="3" t="s">
        <v>110</v>
      </c>
      <c r="C25" s="3"/>
      <c r="D25" s="3" t="str">
        <f>"20/11/2025"</f>
        <v>20/11/2025</v>
      </c>
      <c r="E25" s="4" t="s">
        <v>111</v>
      </c>
    </row>
    <row r="26" spans="1:5" x14ac:dyDescent="0.25">
      <c r="A26" s="3">
        <v>25</v>
      </c>
      <c r="B26" s="3" t="s">
        <v>112</v>
      </c>
      <c r="C26" s="3"/>
      <c r="D26" s="3" t="str">
        <f>"15/11/2025"</f>
        <v>15/11/2025</v>
      </c>
      <c r="E26" s="4" t="s">
        <v>113</v>
      </c>
    </row>
    <row r="27" spans="1:5" x14ac:dyDescent="0.25">
      <c r="A27" s="3">
        <v>26</v>
      </c>
      <c r="B27" s="3" t="s">
        <v>114</v>
      </c>
      <c r="C27" s="3"/>
      <c r="D27" s="3" t="str">
        <f>"09/11/2025"</f>
        <v>09/11/2025</v>
      </c>
      <c r="E27" s="4" t="s">
        <v>115</v>
      </c>
    </row>
    <row r="28" spans="1:5" x14ac:dyDescent="0.25">
      <c r="A28" s="3">
        <v>27</v>
      </c>
      <c r="B28" s="3" t="s">
        <v>116</v>
      </c>
      <c r="C28" s="3">
        <v>9</v>
      </c>
      <c r="D28" s="3" t="str">
        <f>"06/11/2025"</f>
        <v>06/11/2025</v>
      </c>
      <c r="E28" s="4" t="s">
        <v>117</v>
      </c>
    </row>
    <row r="29" spans="1:5" x14ac:dyDescent="0.25">
      <c r="A29" s="3">
        <v>28</v>
      </c>
      <c r="B29" s="3" t="s">
        <v>118</v>
      </c>
      <c r="C29" s="3"/>
      <c r="D29" s="3" t="str">
        <f>"02/11/2025"</f>
        <v>02/11/2025</v>
      </c>
      <c r="E29" s="4" t="s">
        <v>119</v>
      </c>
    </row>
    <row r="30" spans="1:5" x14ac:dyDescent="0.25">
      <c r="A30" s="3">
        <v>29</v>
      </c>
      <c r="B30" s="3" t="s">
        <v>39</v>
      </c>
      <c r="C30" s="3"/>
      <c r="D30" s="3" t="str">
        <f>"02/11/2025"</f>
        <v>02/11/2025</v>
      </c>
      <c r="E30" s="4" t="s">
        <v>38</v>
      </c>
    </row>
    <row r="31" spans="1:5" x14ac:dyDescent="0.25">
      <c r="A31" s="3">
        <v>30</v>
      </c>
      <c r="B31" s="3" t="s">
        <v>120</v>
      </c>
      <c r="C31" s="3"/>
      <c r="D31" s="3" t="str">
        <f>"01/11/2025"</f>
        <v>01/11/2025</v>
      </c>
      <c r="E31" s="4" t="s">
        <v>121</v>
      </c>
    </row>
    <row r="32" spans="1:5" x14ac:dyDescent="0.25">
      <c r="A32" s="3">
        <v>31</v>
      </c>
      <c r="B32" s="3" t="s">
        <v>122</v>
      </c>
      <c r="C32" s="3"/>
      <c r="D32" s="3" t="str">
        <f>"31/10/2025"</f>
        <v>31/10/2025</v>
      </c>
      <c r="E32" s="4" t="s">
        <v>123</v>
      </c>
    </row>
    <row r="33" spans="1:5" x14ac:dyDescent="0.25">
      <c r="A33" s="3">
        <v>32</v>
      </c>
      <c r="B33" s="3" t="s">
        <v>124</v>
      </c>
      <c r="C33" s="3"/>
      <c r="D33" s="3" t="str">
        <f>"30/10/2025"</f>
        <v>30/10/2025</v>
      </c>
      <c r="E33" s="4" t="s">
        <v>125</v>
      </c>
    </row>
    <row r="34" spans="1:5" x14ac:dyDescent="0.25">
      <c r="A34" s="3">
        <v>33</v>
      </c>
      <c r="B34" s="3" t="s">
        <v>126</v>
      </c>
      <c r="C34" s="3"/>
      <c r="D34" s="3" t="str">
        <f>"30/10/2025"</f>
        <v>30/10/2025</v>
      </c>
      <c r="E34" s="4" t="s">
        <v>127</v>
      </c>
    </row>
    <row r="35" spans="1:5" x14ac:dyDescent="0.25">
      <c r="A35" s="3">
        <v>34</v>
      </c>
      <c r="B35" s="3" t="s">
        <v>128</v>
      </c>
      <c r="C35" s="3"/>
      <c r="D35" s="3" t="str">
        <f>"25/10/2025"</f>
        <v>25/10/2025</v>
      </c>
      <c r="E35" s="4" t="s">
        <v>129</v>
      </c>
    </row>
    <row r="36" spans="1:5" x14ac:dyDescent="0.25">
      <c r="A36" s="3">
        <v>35</v>
      </c>
      <c r="B36" s="3" t="s">
        <v>130</v>
      </c>
      <c r="C36" s="3"/>
      <c r="D36" s="3" t="str">
        <f>"18/10/2025"</f>
        <v>18/10/2025</v>
      </c>
      <c r="E36" s="4" t="s">
        <v>131</v>
      </c>
    </row>
    <row r="37" spans="1:5" x14ac:dyDescent="0.25">
      <c r="A37" s="3">
        <v>36</v>
      </c>
      <c r="B37" s="3" t="s">
        <v>132</v>
      </c>
      <c r="C37" s="3"/>
      <c r="D37" s="3" t="str">
        <f>"18/10/2025"</f>
        <v>18/10/2025</v>
      </c>
      <c r="E37" s="4" t="s">
        <v>133</v>
      </c>
    </row>
    <row r="38" spans="1:5" x14ac:dyDescent="0.25">
      <c r="A38" s="3">
        <v>37</v>
      </c>
      <c r="B38" s="3" t="s">
        <v>134</v>
      </c>
      <c r="C38" s="3"/>
      <c r="D38" s="3" t="str">
        <f>"17/10/2025"</f>
        <v>17/10/2025</v>
      </c>
      <c r="E38" s="4" t="s">
        <v>135</v>
      </c>
    </row>
    <row r="39" spans="1:5" x14ac:dyDescent="0.25">
      <c r="A39" s="3">
        <v>38</v>
      </c>
      <c r="B39" s="3" t="s">
        <v>136</v>
      </c>
      <c r="C39" s="3"/>
      <c r="D39" s="3" t="str">
        <f>"15/10/2025"</f>
        <v>15/10/2025</v>
      </c>
      <c r="E39" s="4" t="s">
        <v>137</v>
      </c>
    </row>
    <row r="40" spans="1:5" x14ac:dyDescent="0.25">
      <c r="A40" s="3">
        <v>39</v>
      </c>
      <c r="B40" s="3" t="s">
        <v>138</v>
      </c>
      <c r="C40" s="3">
        <v>1</v>
      </c>
      <c r="D40" s="3" t="str">
        <f>"14/10/2025"</f>
        <v>14/10/2025</v>
      </c>
      <c r="E40" s="4" t="s">
        <v>139</v>
      </c>
    </row>
    <row r="41" spans="1:5" x14ac:dyDescent="0.25">
      <c r="A41" s="3">
        <v>40</v>
      </c>
      <c r="B41" s="3" t="s">
        <v>140</v>
      </c>
      <c r="C41" s="3"/>
      <c r="D41" s="3" t="str">
        <f>"13/10/2025"</f>
        <v>13/10/2025</v>
      </c>
      <c r="E41" s="4" t="s">
        <v>141</v>
      </c>
    </row>
    <row r="42" spans="1:5" x14ac:dyDescent="0.25">
      <c r="A42" s="3">
        <v>41</v>
      </c>
      <c r="B42" s="3" t="s">
        <v>142</v>
      </c>
      <c r="C42" s="3"/>
      <c r="D42" s="3" t="str">
        <f>"12/10/2025"</f>
        <v>12/10/2025</v>
      </c>
      <c r="E42" s="4" t="s">
        <v>143</v>
      </c>
    </row>
    <row r="43" spans="1:5" x14ac:dyDescent="0.25">
      <c r="A43" s="3">
        <v>42</v>
      </c>
      <c r="B43" s="3" t="s">
        <v>144</v>
      </c>
      <c r="C43" s="3"/>
      <c r="D43" s="3" t="str">
        <f>"08/10/2025"</f>
        <v>08/10/2025</v>
      </c>
      <c r="E43" s="4" t="s">
        <v>145</v>
      </c>
    </row>
    <row r="44" spans="1:5" x14ac:dyDescent="0.25">
      <c r="A44" s="3">
        <v>43</v>
      </c>
      <c r="B44" s="3" t="s">
        <v>146</v>
      </c>
      <c r="C44" s="3"/>
      <c r="D44" s="3" t="str">
        <f>"05/10/2025"</f>
        <v>05/10/2025</v>
      </c>
      <c r="E44" s="4" t="s">
        <v>147</v>
      </c>
    </row>
    <row r="45" spans="1:5" x14ac:dyDescent="0.25">
      <c r="A45" s="3">
        <v>44</v>
      </c>
      <c r="B45" s="3" t="s">
        <v>148</v>
      </c>
      <c r="C45" s="3">
        <v>2</v>
      </c>
      <c r="D45" s="3" t="str">
        <f>"04/10/2025"</f>
        <v>04/10/2025</v>
      </c>
      <c r="E45" s="4" t="s">
        <v>149</v>
      </c>
    </row>
    <row r="46" spans="1:5" x14ac:dyDescent="0.25">
      <c r="A46" s="3">
        <v>45</v>
      </c>
      <c r="B46" s="3" t="s">
        <v>150</v>
      </c>
      <c r="C46" s="3"/>
      <c r="D46" s="3" t="str">
        <f>"29/09/2025"</f>
        <v>29/09/2025</v>
      </c>
      <c r="E46" s="4" t="s">
        <v>151</v>
      </c>
    </row>
    <row r="47" spans="1:5" x14ac:dyDescent="0.25">
      <c r="A47" s="3">
        <v>46</v>
      </c>
      <c r="B47" s="3" t="s">
        <v>152</v>
      </c>
      <c r="C47" s="3"/>
      <c r="D47" s="3" t="str">
        <f>"24/09/2025"</f>
        <v>24/09/2025</v>
      </c>
      <c r="E47" s="4" t="s">
        <v>153</v>
      </c>
    </row>
    <row r="48" spans="1:5" x14ac:dyDescent="0.25">
      <c r="A48" s="3">
        <v>47</v>
      </c>
      <c r="B48" s="3" t="s">
        <v>154</v>
      </c>
      <c r="C48" s="3"/>
      <c r="D48" s="3" t="str">
        <f>"22/09/2025"</f>
        <v>22/09/2025</v>
      </c>
      <c r="E48" s="4" t="s">
        <v>155</v>
      </c>
    </row>
    <row r="49" spans="1:5" x14ac:dyDescent="0.25">
      <c r="A49" s="3">
        <v>48</v>
      </c>
      <c r="B49" s="3" t="s">
        <v>156</v>
      </c>
      <c r="C49" s="3"/>
      <c r="D49" s="3" t="str">
        <f>"21/09/2025"</f>
        <v>21/09/2025</v>
      </c>
      <c r="E49" s="4" t="s">
        <v>157</v>
      </c>
    </row>
    <row r="50" spans="1:5" x14ac:dyDescent="0.25">
      <c r="A50" s="3">
        <v>49</v>
      </c>
      <c r="B50" s="3" t="s">
        <v>158</v>
      </c>
      <c r="C50" s="3"/>
      <c r="D50" s="3" t="str">
        <f>"18/09/2025"</f>
        <v>18/09/2025</v>
      </c>
      <c r="E50" s="4" t="s">
        <v>159</v>
      </c>
    </row>
    <row r="51" spans="1:5" x14ac:dyDescent="0.25">
      <c r="A51" s="3">
        <v>50</v>
      </c>
      <c r="B51" s="3" t="s">
        <v>160</v>
      </c>
      <c r="C51" s="3"/>
      <c r="D51" s="3" t="str">
        <f>"16/09/2025"</f>
        <v>16/09/2025</v>
      </c>
      <c r="E51" s="4" t="s">
        <v>161</v>
      </c>
    </row>
    <row r="52" spans="1:5" x14ac:dyDescent="0.25">
      <c r="A52" s="3">
        <v>51</v>
      </c>
      <c r="B52" s="3" t="s">
        <v>162</v>
      </c>
      <c r="C52" s="3"/>
      <c r="D52" s="3" t="str">
        <f>"15/09/2025"</f>
        <v>15/09/2025</v>
      </c>
      <c r="E52" s="4" t="s">
        <v>163</v>
      </c>
    </row>
    <row r="53" spans="1:5" x14ac:dyDescent="0.25">
      <c r="A53" s="3">
        <v>52</v>
      </c>
      <c r="B53" s="3" t="s">
        <v>164</v>
      </c>
      <c r="C53" s="3"/>
      <c r="D53" s="3" t="str">
        <f>"12/09/2025"</f>
        <v>12/09/2025</v>
      </c>
      <c r="E53" s="4" t="s">
        <v>165</v>
      </c>
    </row>
    <row r="54" spans="1:5" x14ac:dyDescent="0.25">
      <c r="A54" s="3">
        <v>53</v>
      </c>
      <c r="B54" s="3" t="s">
        <v>166</v>
      </c>
      <c r="C54" s="3"/>
      <c r="D54" s="3" t="str">
        <f>"11/09/2025"</f>
        <v>11/09/2025</v>
      </c>
      <c r="E54" s="4" t="s">
        <v>167</v>
      </c>
    </row>
    <row r="55" spans="1:5" x14ac:dyDescent="0.25">
      <c r="A55" s="3">
        <v>54</v>
      </c>
      <c r="B55" s="3" t="s">
        <v>168</v>
      </c>
      <c r="C55" s="3"/>
      <c r="D55" s="3" t="str">
        <f>"10/09/2025"</f>
        <v>10/09/2025</v>
      </c>
      <c r="E55" s="4" t="s">
        <v>169</v>
      </c>
    </row>
    <row r="56" spans="1:5" x14ac:dyDescent="0.25">
      <c r="A56" s="3">
        <v>55</v>
      </c>
      <c r="B56" s="3" t="s">
        <v>170</v>
      </c>
      <c r="C56" s="3"/>
      <c r="D56" s="3" t="str">
        <f>"08/09/2025"</f>
        <v>08/09/2025</v>
      </c>
      <c r="E56" s="4" t="s">
        <v>171</v>
      </c>
    </row>
    <row r="57" spans="1:5" x14ac:dyDescent="0.25">
      <c r="A57" s="3">
        <v>56</v>
      </c>
      <c r="B57" s="3" t="s">
        <v>172</v>
      </c>
      <c r="C57" s="3"/>
      <c r="D57" s="3" t="str">
        <f>"06/09/2025"</f>
        <v>06/09/2025</v>
      </c>
      <c r="E57" s="4" t="s">
        <v>173</v>
      </c>
    </row>
    <row r="58" spans="1:5" x14ac:dyDescent="0.25">
      <c r="A58" s="3">
        <v>57</v>
      </c>
      <c r="B58" s="3" t="s">
        <v>174</v>
      </c>
      <c r="C58" s="3"/>
      <c r="D58" s="3" t="str">
        <f>"05/09/2025"</f>
        <v>05/09/2025</v>
      </c>
      <c r="E58" s="4" t="s">
        <v>175</v>
      </c>
    </row>
    <row r="59" spans="1:5" x14ac:dyDescent="0.25">
      <c r="A59" s="3">
        <v>58</v>
      </c>
      <c r="B59" s="3" t="s">
        <v>176</v>
      </c>
      <c r="C59" s="3">
        <v>2</v>
      </c>
      <c r="D59" s="3" t="str">
        <f>"03/09/2025"</f>
        <v>03/09/2025</v>
      </c>
      <c r="E59" s="4" t="s">
        <v>177</v>
      </c>
    </row>
    <row r="60" spans="1:5" x14ac:dyDescent="0.25">
      <c r="A60" s="3">
        <v>59</v>
      </c>
      <c r="B60" s="3" t="s">
        <v>178</v>
      </c>
      <c r="C60" s="3"/>
      <c r="D60" s="3" t="str">
        <f>"02/09/2025"</f>
        <v>02/09/2025</v>
      </c>
      <c r="E60" s="4" t="s">
        <v>179</v>
      </c>
    </row>
    <row r="61" spans="1:5" x14ac:dyDescent="0.25">
      <c r="A61" s="3">
        <v>60</v>
      </c>
      <c r="B61" s="3" t="s">
        <v>180</v>
      </c>
      <c r="C61" s="3"/>
      <c r="D61" s="3" t="str">
        <f>"01/09/2025"</f>
        <v>01/09/2025</v>
      </c>
      <c r="E61" s="4" t="s">
        <v>181</v>
      </c>
    </row>
    <row r="62" spans="1:5" x14ac:dyDescent="0.25">
      <c r="A62" s="3">
        <v>61</v>
      </c>
      <c r="B62" s="3" t="s">
        <v>182</v>
      </c>
      <c r="C62" s="3"/>
      <c r="D62" s="3" t="str">
        <f>"31/08/2025"</f>
        <v>31/08/2025</v>
      </c>
      <c r="E62" s="4" t="s">
        <v>183</v>
      </c>
    </row>
    <row r="63" spans="1:5" x14ac:dyDescent="0.25">
      <c r="A63" s="3">
        <v>62</v>
      </c>
      <c r="B63" s="3" t="s">
        <v>184</v>
      </c>
      <c r="C63" s="3">
        <v>9</v>
      </c>
      <c r="D63" s="3" t="str">
        <f>"29/08/2025"</f>
        <v>29/08/2025</v>
      </c>
      <c r="E63" s="4" t="s">
        <v>185</v>
      </c>
    </row>
    <row r="64" spans="1:5" x14ac:dyDescent="0.25">
      <c r="A64" s="3">
        <v>63</v>
      </c>
      <c r="B64" s="3" t="s">
        <v>186</v>
      </c>
      <c r="C64" s="3"/>
      <c r="D64" s="3" t="str">
        <f>"26/08/2025"</f>
        <v>26/08/2025</v>
      </c>
      <c r="E64" s="4" t="s">
        <v>187</v>
      </c>
    </row>
    <row r="65" spans="1:5" x14ac:dyDescent="0.25">
      <c r="A65" s="3">
        <v>64</v>
      </c>
      <c r="B65" s="3" t="s">
        <v>188</v>
      </c>
      <c r="C65" s="3"/>
      <c r="D65" s="3" t="str">
        <f>"25/08/2025"</f>
        <v>25/08/2025</v>
      </c>
      <c r="E65" s="4" t="s">
        <v>189</v>
      </c>
    </row>
    <row r="66" spans="1:5" x14ac:dyDescent="0.25">
      <c r="A66" s="3">
        <v>65</v>
      </c>
      <c r="B66" s="3" t="s">
        <v>190</v>
      </c>
      <c r="C66" s="3"/>
      <c r="D66" s="3" t="str">
        <f>"19/08/2025"</f>
        <v>19/08/2025</v>
      </c>
      <c r="E66" s="4" t="s">
        <v>191</v>
      </c>
    </row>
    <row r="67" spans="1:5" x14ac:dyDescent="0.25">
      <c r="A67" s="3">
        <v>66</v>
      </c>
      <c r="B67" s="3" t="s">
        <v>192</v>
      </c>
      <c r="C67" s="3"/>
      <c r="D67" s="3" t="str">
        <f>"10/08/2025"</f>
        <v>10/08/2025</v>
      </c>
      <c r="E67" s="4" t="s">
        <v>193</v>
      </c>
    </row>
    <row r="68" spans="1:5" x14ac:dyDescent="0.25">
      <c r="A68" s="3">
        <v>67</v>
      </c>
      <c r="B68" s="3" t="s">
        <v>194</v>
      </c>
      <c r="C68" s="3">
        <v>9</v>
      </c>
      <c r="D68" s="3" t="str">
        <f>"05/08/2025"</f>
        <v>05/08/2025</v>
      </c>
      <c r="E68" s="4" t="s">
        <v>195</v>
      </c>
    </row>
    <row r="69" spans="1:5" x14ac:dyDescent="0.25">
      <c r="A69" s="3">
        <v>68</v>
      </c>
      <c r="B69" s="3" t="s">
        <v>196</v>
      </c>
      <c r="C69" s="3">
        <v>9</v>
      </c>
      <c r="D69" s="3" t="str">
        <f>"29/07/2025"</f>
        <v>29/07/2025</v>
      </c>
      <c r="E69" s="4" t="s">
        <v>197</v>
      </c>
    </row>
    <row r="70" spans="1:5" x14ac:dyDescent="0.25">
      <c r="A70" s="3">
        <v>69</v>
      </c>
      <c r="B70" s="3" t="s">
        <v>198</v>
      </c>
      <c r="C70" s="3"/>
      <c r="D70" s="3" t="str">
        <f>"25/07/2025"</f>
        <v>25/07/2025</v>
      </c>
      <c r="E70" s="4" t="s">
        <v>199</v>
      </c>
    </row>
    <row r="71" spans="1:5" x14ac:dyDescent="0.25">
      <c r="A71" s="3">
        <v>70</v>
      </c>
      <c r="B71" s="3" t="s">
        <v>200</v>
      </c>
      <c r="C71" s="3"/>
      <c r="D71" s="3" t="str">
        <f>"24/07/2025"</f>
        <v>24/07/2025</v>
      </c>
      <c r="E71" s="4" t="s">
        <v>201</v>
      </c>
    </row>
    <row r="72" spans="1:5" x14ac:dyDescent="0.25">
      <c r="A72" s="3">
        <v>71</v>
      </c>
      <c r="B72" s="3" t="s">
        <v>202</v>
      </c>
      <c r="C72" s="3"/>
      <c r="D72" s="3" t="str">
        <f>"23/07/2025"</f>
        <v>23/07/2025</v>
      </c>
      <c r="E72" s="4" t="s">
        <v>203</v>
      </c>
    </row>
    <row r="73" spans="1:5" x14ac:dyDescent="0.25">
      <c r="A73" s="3">
        <v>72</v>
      </c>
      <c r="B73" s="3" t="s">
        <v>204</v>
      </c>
      <c r="C73" s="3">
        <v>10</v>
      </c>
      <c r="D73" s="3" t="str">
        <f>"18/07/2025"</f>
        <v>18/07/2025</v>
      </c>
      <c r="E73" s="4" t="s">
        <v>205</v>
      </c>
    </row>
    <row r="74" spans="1:5" x14ac:dyDescent="0.25">
      <c r="A74" s="3">
        <v>73</v>
      </c>
      <c r="B74" s="3" t="s">
        <v>206</v>
      </c>
      <c r="C74" s="3"/>
      <c r="D74" s="3" t="str">
        <f>"14/07/2025"</f>
        <v>14/07/2025</v>
      </c>
      <c r="E74" s="4" t="s">
        <v>207</v>
      </c>
    </row>
    <row r="75" spans="1:5" x14ac:dyDescent="0.25">
      <c r="A75" s="3">
        <v>74</v>
      </c>
      <c r="B75" s="3" t="s">
        <v>208</v>
      </c>
      <c r="C75" s="3"/>
      <c r="D75" s="3" t="str">
        <f>"12/07/2025"</f>
        <v>12/07/2025</v>
      </c>
      <c r="E75" s="4" t="s">
        <v>209</v>
      </c>
    </row>
    <row r="76" spans="1:5" x14ac:dyDescent="0.25">
      <c r="A76" s="3">
        <v>75</v>
      </c>
      <c r="B76" s="3" t="s">
        <v>210</v>
      </c>
      <c r="C76" s="3"/>
      <c r="D76" s="3" t="str">
        <f>"09/07/2025"</f>
        <v>09/07/2025</v>
      </c>
      <c r="E76" s="4" t="s">
        <v>211</v>
      </c>
    </row>
    <row r="77" spans="1:5" x14ac:dyDescent="0.25">
      <c r="A77" s="3">
        <v>76</v>
      </c>
      <c r="B77" s="3" t="s">
        <v>212</v>
      </c>
      <c r="C77" s="3"/>
      <c r="D77" s="3" t="str">
        <f>"08/07/2025"</f>
        <v>08/07/2025</v>
      </c>
      <c r="E77" s="4" t="s">
        <v>213</v>
      </c>
    </row>
    <row r="78" spans="1:5" x14ac:dyDescent="0.25">
      <c r="A78" s="3">
        <v>77</v>
      </c>
      <c r="B78" s="3" t="s">
        <v>214</v>
      </c>
      <c r="C78" s="3"/>
      <c r="D78" s="3" t="str">
        <f>"08/07/2025"</f>
        <v>08/07/2025</v>
      </c>
      <c r="E78" s="4" t="s">
        <v>215</v>
      </c>
    </row>
    <row r="79" spans="1:5" x14ac:dyDescent="0.25">
      <c r="A79" s="3">
        <v>78</v>
      </c>
      <c r="B79" s="3" t="s">
        <v>216</v>
      </c>
      <c r="C79" s="3"/>
      <c r="D79" s="3" t="str">
        <f>"07/07/2025"</f>
        <v>07/07/2025</v>
      </c>
      <c r="E79" s="4" t="s">
        <v>217</v>
      </c>
    </row>
    <row r="80" spans="1:5" x14ac:dyDescent="0.25">
      <c r="A80" s="3">
        <v>79</v>
      </c>
      <c r="B80" s="3" t="s">
        <v>218</v>
      </c>
      <c r="C80" s="3"/>
      <c r="D80" s="3" t="str">
        <f>"01/07/2025"</f>
        <v>01/07/2025</v>
      </c>
      <c r="E80" s="4" t="s">
        <v>219</v>
      </c>
    </row>
    <row r="81" spans="1:5" x14ac:dyDescent="0.25">
      <c r="A81" s="3">
        <v>80</v>
      </c>
      <c r="B81" s="3" t="s">
        <v>220</v>
      </c>
      <c r="C81" s="3"/>
      <c r="D81" s="3" t="str">
        <f>"01/07/2025"</f>
        <v>01/07/2025</v>
      </c>
      <c r="E81" s="4" t="s">
        <v>221</v>
      </c>
    </row>
    <row r="82" spans="1:5" x14ac:dyDescent="0.25">
      <c r="A82" s="3">
        <v>81</v>
      </c>
      <c r="B82" s="3" t="s">
        <v>222</v>
      </c>
      <c r="C82" s="3">
        <v>10</v>
      </c>
      <c r="D82" s="3" t="str">
        <f>"29/06/2025"</f>
        <v>29/06/2025</v>
      </c>
      <c r="E82" s="4" t="s">
        <v>223</v>
      </c>
    </row>
    <row r="83" spans="1:5" x14ac:dyDescent="0.25">
      <c r="A83" s="3">
        <v>82</v>
      </c>
      <c r="B83" s="3" t="s">
        <v>224</v>
      </c>
      <c r="C83" s="3"/>
      <c r="D83" s="3" t="str">
        <f>"27/06/2025"</f>
        <v>27/06/2025</v>
      </c>
      <c r="E83" s="4" t="s">
        <v>225</v>
      </c>
    </row>
    <row r="84" spans="1:5" x14ac:dyDescent="0.25">
      <c r="A84" s="3">
        <v>83</v>
      </c>
      <c r="B84" s="3" t="s">
        <v>226</v>
      </c>
      <c r="C84" s="3"/>
      <c r="D84" s="3" t="str">
        <f>"17/06/2025"</f>
        <v>17/06/2025</v>
      </c>
      <c r="E84" s="4" t="s">
        <v>227</v>
      </c>
    </row>
    <row r="85" spans="1:5" x14ac:dyDescent="0.25">
      <c r="A85" s="3">
        <v>84</v>
      </c>
      <c r="B85" s="3" t="s">
        <v>228</v>
      </c>
      <c r="C85" s="3">
        <v>10</v>
      </c>
      <c r="D85" s="3" t="str">
        <f>"13/06/2025"</f>
        <v>13/06/2025</v>
      </c>
      <c r="E85" s="4" t="s">
        <v>229</v>
      </c>
    </row>
    <row r="86" spans="1:5" x14ac:dyDescent="0.25">
      <c r="A86" s="3">
        <v>85</v>
      </c>
      <c r="B86" s="3" t="s">
        <v>230</v>
      </c>
      <c r="C86" s="3"/>
      <c r="D86" s="3" t="str">
        <f>"12/06/2025"</f>
        <v>12/06/2025</v>
      </c>
      <c r="E86" s="4" t="s">
        <v>231</v>
      </c>
    </row>
    <row r="87" spans="1:5" x14ac:dyDescent="0.25">
      <c r="A87" s="3">
        <v>86</v>
      </c>
      <c r="B87" s="3" t="s">
        <v>232</v>
      </c>
      <c r="C87" s="3"/>
      <c r="D87" s="3" t="str">
        <f>"11/06/2025"</f>
        <v>11/06/2025</v>
      </c>
      <c r="E87" s="4" t="s">
        <v>233</v>
      </c>
    </row>
    <row r="88" spans="1:5" x14ac:dyDescent="0.25">
      <c r="A88" s="3">
        <v>87</v>
      </c>
      <c r="B88" s="3" t="s">
        <v>234</v>
      </c>
      <c r="C88" s="3"/>
      <c r="D88" s="3" t="str">
        <f>"31/05/2025"</f>
        <v>31/05/2025</v>
      </c>
      <c r="E88" s="4" t="s">
        <v>235</v>
      </c>
    </row>
    <row r="89" spans="1:5" x14ac:dyDescent="0.25">
      <c r="A89" s="3">
        <v>88</v>
      </c>
      <c r="B89" s="3" t="s">
        <v>236</v>
      </c>
      <c r="C89" s="3"/>
      <c r="D89" s="3" t="str">
        <f>"24/05/2025"</f>
        <v>24/05/2025</v>
      </c>
      <c r="E89" s="4" t="s">
        <v>237</v>
      </c>
    </row>
    <row r="90" spans="1:5" x14ac:dyDescent="0.25">
      <c r="A90" s="3">
        <v>89</v>
      </c>
      <c r="B90" s="3" t="s">
        <v>238</v>
      </c>
      <c r="C90" s="3"/>
      <c r="D90" s="3" t="str">
        <f>"24/05/2025"</f>
        <v>24/05/2025</v>
      </c>
      <c r="E90" s="4" t="s">
        <v>239</v>
      </c>
    </row>
    <row r="91" spans="1:5" x14ac:dyDescent="0.25">
      <c r="A91" s="3">
        <v>90</v>
      </c>
      <c r="B91" s="3" t="s">
        <v>240</v>
      </c>
      <c r="C91" s="3"/>
      <c r="D91" s="3" t="str">
        <f>"19/05/2025"</f>
        <v>19/05/2025</v>
      </c>
      <c r="E91" s="4" t="s">
        <v>241</v>
      </c>
    </row>
    <row r="92" spans="1:5" x14ac:dyDescent="0.25">
      <c r="A92" s="3">
        <v>91</v>
      </c>
      <c r="B92" s="3" t="s">
        <v>242</v>
      </c>
      <c r="C92" s="3"/>
      <c r="D92" s="3" t="str">
        <f>"17/05/2025"</f>
        <v>17/05/2025</v>
      </c>
      <c r="E92" s="4" t="s">
        <v>243</v>
      </c>
    </row>
    <row r="93" spans="1:5" x14ac:dyDescent="0.25">
      <c r="A93" s="3">
        <v>92</v>
      </c>
      <c r="B93" s="3" t="s">
        <v>244</v>
      </c>
      <c r="C93" s="3">
        <v>9</v>
      </c>
      <c r="D93" s="3" t="str">
        <f>"09/05/2025"</f>
        <v>09/05/2025</v>
      </c>
      <c r="E93" s="4" t="s">
        <v>245</v>
      </c>
    </row>
    <row r="94" spans="1:5" x14ac:dyDescent="0.25">
      <c r="A94" s="3">
        <v>93</v>
      </c>
      <c r="B94" s="3" t="s">
        <v>246</v>
      </c>
      <c r="C94" s="3"/>
      <c r="D94" s="3" t="str">
        <f>"28/04/2025"</f>
        <v>28/04/2025</v>
      </c>
      <c r="E94" s="4" t="s">
        <v>247</v>
      </c>
    </row>
    <row r="95" spans="1:5" x14ac:dyDescent="0.25">
      <c r="A95" s="3">
        <v>94</v>
      </c>
      <c r="B95" s="3" t="s">
        <v>248</v>
      </c>
      <c r="C95" s="3"/>
      <c r="D95" s="3" t="str">
        <f>"19/04/2025"</f>
        <v>19/04/2025</v>
      </c>
      <c r="E95" s="4" t="s">
        <v>249</v>
      </c>
    </row>
    <row r="96" spans="1:5" x14ac:dyDescent="0.25">
      <c r="A96" s="3">
        <v>95</v>
      </c>
      <c r="B96" s="3" t="s">
        <v>250</v>
      </c>
      <c r="C96" s="3">
        <v>9</v>
      </c>
      <c r="D96" s="3" t="str">
        <f>"02/04/2025"</f>
        <v>02/04/2025</v>
      </c>
      <c r="E96" s="4" t="s">
        <v>251</v>
      </c>
    </row>
    <row r="97" spans="1:5" x14ac:dyDescent="0.25">
      <c r="A97" s="3">
        <v>96</v>
      </c>
      <c r="B97" s="3" t="s">
        <v>252</v>
      </c>
      <c r="C97" s="3"/>
      <c r="D97" s="3" t="str">
        <f>"28/03/2025"</f>
        <v>28/03/2025</v>
      </c>
      <c r="E97" s="4" t="s">
        <v>253</v>
      </c>
    </row>
    <row r="98" spans="1:5" x14ac:dyDescent="0.25">
      <c r="A98" s="3">
        <v>97</v>
      </c>
      <c r="B98" s="3" t="s">
        <v>254</v>
      </c>
      <c r="C98" s="3">
        <v>9</v>
      </c>
      <c r="D98" s="3" t="str">
        <f>"20/03/2025"</f>
        <v>20/03/2025</v>
      </c>
      <c r="E98" s="4" t="s">
        <v>255</v>
      </c>
    </row>
    <row r="99" spans="1:5" x14ac:dyDescent="0.25">
      <c r="A99" s="3">
        <v>98</v>
      </c>
      <c r="B99" s="3" t="s">
        <v>256</v>
      </c>
      <c r="C99" s="3"/>
      <c r="D99" s="3" t="str">
        <f>"19/03/2025"</f>
        <v>19/03/2025</v>
      </c>
      <c r="E99" s="4" t="s">
        <v>257</v>
      </c>
    </row>
    <row r="100" spans="1:5" x14ac:dyDescent="0.25">
      <c r="A100" s="3">
        <v>99</v>
      </c>
      <c r="B100" s="3" t="s">
        <v>258</v>
      </c>
      <c r="C100" s="3"/>
      <c r="D100" s="3" t="str">
        <f>"15/03/2025"</f>
        <v>15/03/2025</v>
      </c>
      <c r="E100" s="4" t="s">
        <v>259</v>
      </c>
    </row>
    <row r="101" spans="1:5" x14ac:dyDescent="0.25">
      <c r="A101" s="3">
        <v>100</v>
      </c>
      <c r="B101" s="3" t="s">
        <v>260</v>
      </c>
      <c r="C101" s="3">
        <v>1</v>
      </c>
      <c r="D101" s="3" t="str">
        <f>"04/03/2025"</f>
        <v>04/03/2025</v>
      </c>
      <c r="E101" s="4" t="s">
        <v>261</v>
      </c>
    </row>
    <row r="102" spans="1:5" x14ac:dyDescent="0.25">
      <c r="A102" s="3">
        <v>101</v>
      </c>
      <c r="B102" s="3" t="s">
        <v>262</v>
      </c>
      <c r="C102" s="3"/>
      <c r="D102" s="3" t="str">
        <f>"03/03/2025"</f>
        <v>03/03/2025</v>
      </c>
      <c r="E102" s="4" t="s">
        <v>263</v>
      </c>
    </row>
    <row r="103" spans="1:5" x14ac:dyDescent="0.25">
      <c r="A103" s="3">
        <v>102</v>
      </c>
      <c r="B103" s="3" t="s">
        <v>264</v>
      </c>
      <c r="C103" s="3"/>
      <c r="D103" s="3" t="str">
        <f>"23/02/2025"</f>
        <v>23/02/2025</v>
      </c>
      <c r="E103" s="4" t="s">
        <v>265</v>
      </c>
    </row>
    <row r="104" spans="1:5" x14ac:dyDescent="0.25">
      <c r="A104" s="3">
        <v>103</v>
      </c>
      <c r="B104" s="3" t="s">
        <v>266</v>
      </c>
      <c r="C104" s="3">
        <v>9</v>
      </c>
      <c r="D104" s="3" t="str">
        <f>"18/02/2025"</f>
        <v>18/02/2025</v>
      </c>
      <c r="E104" s="4" t="s">
        <v>267</v>
      </c>
    </row>
    <row r="105" spans="1:5" x14ac:dyDescent="0.25">
      <c r="A105" s="3">
        <v>104</v>
      </c>
      <c r="B105" s="3" t="s">
        <v>268</v>
      </c>
      <c r="C105" s="3">
        <v>9</v>
      </c>
      <c r="D105" s="3" t="str">
        <f>"15/02/2025"</f>
        <v>15/02/2025</v>
      </c>
      <c r="E105" s="4" t="s">
        <v>269</v>
      </c>
    </row>
    <row r="106" spans="1:5" x14ac:dyDescent="0.25">
      <c r="A106" s="3">
        <v>105</v>
      </c>
      <c r="B106" s="3" t="s">
        <v>270</v>
      </c>
      <c r="C106" s="3"/>
      <c r="D106" s="3" t="str">
        <f>"13/02/2025"</f>
        <v>13/02/2025</v>
      </c>
      <c r="E106" s="4" t="s">
        <v>271</v>
      </c>
    </row>
    <row r="107" spans="1:5" x14ac:dyDescent="0.25">
      <c r="A107" s="3">
        <v>106</v>
      </c>
      <c r="B107" s="3" t="s">
        <v>272</v>
      </c>
      <c r="C107" s="3"/>
      <c r="D107" s="3" t="str">
        <f>"11/02/2025"</f>
        <v>11/02/2025</v>
      </c>
      <c r="E107" s="4" t="s">
        <v>273</v>
      </c>
    </row>
    <row r="108" spans="1:5" x14ac:dyDescent="0.25">
      <c r="A108" s="3">
        <v>107</v>
      </c>
      <c r="B108" s="3" t="s">
        <v>274</v>
      </c>
      <c r="C108" s="3"/>
      <c r="D108" s="3" t="str">
        <f>"07/02/2025"</f>
        <v>07/02/2025</v>
      </c>
      <c r="E108" s="4" t="s">
        <v>275</v>
      </c>
    </row>
    <row r="109" spans="1:5" x14ac:dyDescent="0.25">
      <c r="A109" s="3">
        <v>108</v>
      </c>
      <c r="B109" s="3" t="s">
        <v>276</v>
      </c>
      <c r="C109" s="3">
        <v>9</v>
      </c>
      <c r="D109" s="3" t="str">
        <f>"28/01/2025"</f>
        <v>28/01/2025</v>
      </c>
      <c r="E109" s="4" t="s">
        <v>277</v>
      </c>
    </row>
    <row r="110" spans="1:5" x14ac:dyDescent="0.25">
      <c r="A110" s="3">
        <v>109</v>
      </c>
      <c r="B110" s="3" t="s">
        <v>278</v>
      </c>
      <c r="C110" s="3"/>
      <c r="D110" s="3" t="str">
        <f>"25/01/2025"</f>
        <v>25/01/2025</v>
      </c>
      <c r="E110" s="4" t="s">
        <v>279</v>
      </c>
    </row>
    <row r="111" spans="1:5" x14ac:dyDescent="0.25">
      <c r="A111" s="3">
        <v>110</v>
      </c>
      <c r="B111" s="3" t="s">
        <v>280</v>
      </c>
      <c r="C111" s="3"/>
      <c r="D111" s="3" t="str">
        <f>"23/01/2025"</f>
        <v>23/01/2025</v>
      </c>
      <c r="E111" s="4" t="s">
        <v>281</v>
      </c>
    </row>
    <row r="112" spans="1:5" x14ac:dyDescent="0.25">
      <c r="A112" s="3">
        <v>111</v>
      </c>
      <c r="B112" s="3" t="s">
        <v>282</v>
      </c>
      <c r="C112" s="3"/>
      <c r="D112" s="3" t="str">
        <f>"21/01/2025"</f>
        <v>21/01/2025</v>
      </c>
      <c r="E112" s="4" t="s">
        <v>283</v>
      </c>
    </row>
    <row r="113" spans="1:5" x14ac:dyDescent="0.25">
      <c r="A113" s="3">
        <v>112</v>
      </c>
      <c r="B113" s="3" t="s">
        <v>284</v>
      </c>
      <c r="C113" s="3"/>
      <c r="D113" s="3" t="str">
        <f>"17/01/2025"</f>
        <v>17/01/2025</v>
      </c>
      <c r="E113" s="4" t="s">
        <v>285</v>
      </c>
    </row>
    <row r="114" spans="1:5" x14ac:dyDescent="0.25">
      <c r="A114" s="3">
        <v>113</v>
      </c>
      <c r="B114" s="3" t="s">
        <v>286</v>
      </c>
      <c r="C114" s="3">
        <v>10</v>
      </c>
      <c r="D114" s="3" t="str">
        <f>"16/01/2025"</f>
        <v>16/01/2025</v>
      </c>
      <c r="E114" s="4" t="s">
        <v>287</v>
      </c>
    </row>
    <row r="115" spans="1:5" x14ac:dyDescent="0.25">
      <c r="A115" s="3">
        <v>114</v>
      </c>
      <c r="B115" s="3" t="s">
        <v>288</v>
      </c>
      <c r="C115" s="3">
        <v>9</v>
      </c>
      <c r="D115" s="3" t="str">
        <f>"13/01/2025"</f>
        <v>13/01/2025</v>
      </c>
      <c r="E115" s="4" t="s">
        <v>289</v>
      </c>
    </row>
    <row r="116" spans="1:5" x14ac:dyDescent="0.25">
      <c r="A116" s="3">
        <v>115</v>
      </c>
      <c r="B116" s="3" t="s">
        <v>290</v>
      </c>
      <c r="C116" s="3">
        <v>9</v>
      </c>
      <c r="D116" s="3" t="str">
        <f>"12/01/2025"</f>
        <v>12/01/2025</v>
      </c>
      <c r="E116" s="4" t="s">
        <v>291</v>
      </c>
    </row>
    <row r="117" spans="1:5" x14ac:dyDescent="0.25">
      <c r="A117" s="3">
        <v>116</v>
      </c>
      <c r="B117" s="3" t="s">
        <v>292</v>
      </c>
      <c r="C117" s="3"/>
      <c r="D117" s="3" t="str">
        <f>"10/01/2025"</f>
        <v>10/01/2025</v>
      </c>
      <c r="E117" s="4" t="s">
        <v>293</v>
      </c>
    </row>
    <row r="118" spans="1:5" x14ac:dyDescent="0.25">
      <c r="A118" s="3">
        <v>117</v>
      </c>
      <c r="B118" s="3" t="s">
        <v>294</v>
      </c>
      <c r="C118" s="3"/>
      <c r="D118" s="3" t="str">
        <f>"05/01/2025"</f>
        <v>05/01/2025</v>
      </c>
      <c r="E118" s="4" t="s">
        <v>295</v>
      </c>
    </row>
    <row r="119" spans="1:5" x14ac:dyDescent="0.25">
      <c r="A119" s="3">
        <v>118</v>
      </c>
      <c r="B119" s="3" t="s">
        <v>296</v>
      </c>
      <c r="C119" s="3"/>
      <c r="D119" s="3" t="str">
        <f>"03/01/2025"</f>
        <v>03/01/2025</v>
      </c>
      <c r="E119" s="4" t="s">
        <v>297</v>
      </c>
    </row>
    <row r="120" spans="1:5" x14ac:dyDescent="0.25">
      <c r="A120" s="3">
        <v>119</v>
      </c>
      <c r="B120" s="3" t="s">
        <v>298</v>
      </c>
      <c r="C120" s="3">
        <v>1</v>
      </c>
      <c r="D120" s="3" t="str">
        <f>"01/01/2025"</f>
        <v>01/01/2025</v>
      </c>
      <c r="E120" s="4" t="s">
        <v>299</v>
      </c>
    </row>
    <row r="121" spans="1:5" x14ac:dyDescent="0.25">
      <c r="A121" s="3">
        <v>120</v>
      </c>
      <c r="B121" s="3" t="s">
        <v>300</v>
      </c>
      <c r="C121" s="3">
        <v>9</v>
      </c>
      <c r="D121" s="3" t="str">
        <f>"01/01/2025"</f>
        <v>01/01/2025</v>
      </c>
      <c r="E121" s="4" t="s">
        <v>301</v>
      </c>
    </row>
    <row r="122" spans="1:5" x14ac:dyDescent="0.25">
      <c r="A122" s="3">
        <v>121</v>
      </c>
      <c r="B122" s="3" t="s">
        <v>302</v>
      </c>
      <c r="C122" s="3"/>
      <c r="D122" s="3" t="str">
        <f>"29/12/2024"</f>
        <v>29/12/2024</v>
      </c>
      <c r="E122" s="4" t="s">
        <v>303</v>
      </c>
    </row>
    <row r="123" spans="1:5" x14ac:dyDescent="0.25">
      <c r="A123" s="3">
        <v>122</v>
      </c>
      <c r="B123" s="3" t="s">
        <v>304</v>
      </c>
      <c r="C123" s="3"/>
      <c r="D123" s="3" t="str">
        <f>"24/12/2024"</f>
        <v>24/12/2024</v>
      </c>
      <c r="E123" s="4" t="s">
        <v>305</v>
      </c>
    </row>
    <row r="124" spans="1:5" x14ac:dyDescent="0.25">
      <c r="A124" s="3">
        <v>123</v>
      </c>
      <c r="B124" s="3" t="s">
        <v>306</v>
      </c>
      <c r="C124" s="3"/>
      <c r="D124" s="3" t="str">
        <f>"23/12/2024"</f>
        <v>23/12/2024</v>
      </c>
      <c r="E124" s="4" t="s">
        <v>307</v>
      </c>
    </row>
    <row r="125" spans="1:5" x14ac:dyDescent="0.25">
      <c r="A125" s="3">
        <v>124</v>
      </c>
      <c r="B125" s="3" t="s">
        <v>308</v>
      </c>
      <c r="C125" s="3">
        <v>10</v>
      </c>
      <c r="D125" s="3" t="str">
        <f>"22/12/2024"</f>
        <v>22/12/2024</v>
      </c>
      <c r="E125" s="4" t="s">
        <v>309</v>
      </c>
    </row>
    <row r="126" spans="1:5" x14ac:dyDescent="0.25">
      <c r="A126" s="3">
        <v>125</v>
      </c>
      <c r="B126" s="3" t="s">
        <v>310</v>
      </c>
      <c r="C126" s="3"/>
      <c r="D126" s="3" t="str">
        <f>"22/12/2024"</f>
        <v>22/12/2024</v>
      </c>
      <c r="E126" s="4" t="s">
        <v>311</v>
      </c>
    </row>
    <row r="127" spans="1:5" x14ac:dyDescent="0.25">
      <c r="A127" s="3">
        <v>126</v>
      </c>
      <c r="B127" s="3" t="s">
        <v>312</v>
      </c>
      <c r="C127" s="3"/>
      <c r="D127" s="3" t="str">
        <f>"21/12/2024"</f>
        <v>21/12/2024</v>
      </c>
      <c r="E127" s="4" t="s">
        <v>313</v>
      </c>
    </row>
    <row r="128" spans="1:5" x14ac:dyDescent="0.25">
      <c r="A128" s="3">
        <v>127</v>
      </c>
      <c r="B128" s="3" t="s">
        <v>314</v>
      </c>
      <c r="C128" s="3"/>
      <c r="D128" s="3" t="str">
        <f>"19/12/2024"</f>
        <v>19/12/2024</v>
      </c>
      <c r="E128" s="4" t="s">
        <v>315</v>
      </c>
    </row>
    <row r="129" spans="1:5" x14ac:dyDescent="0.25">
      <c r="A129" s="3">
        <v>128</v>
      </c>
      <c r="B129" s="3" t="s">
        <v>316</v>
      </c>
      <c r="C129" s="3"/>
      <c r="D129" s="3" t="str">
        <f>"19/12/2024"</f>
        <v>19/12/2024</v>
      </c>
      <c r="E129" s="4" t="s">
        <v>317</v>
      </c>
    </row>
    <row r="130" spans="1:5" x14ac:dyDescent="0.25">
      <c r="A130" s="3">
        <v>129</v>
      </c>
      <c r="B130" s="3" t="s">
        <v>318</v>
      </c>
      <c r="C130" s="3"/>
      <c r="D130" s="3" t="str">
        <f>"12/12/2024"</f>
        <v>12/12/2024</v>
      </c>
      <c r="E130" s="4" t="s">
        <v>319</v>
      </c>
    </row>
    <row r="131" spans="1:5" x14ac:dyDescent="0.25">
      <c r="A131" s="3">
        <v>130</v>
      </c>
      <c r="B131" s="3" t="s">
        <v>320</v>
      </c>
      <c r="C131" s="3"/>
      <c r="D131" s="3" t="str">
        <f>"10/12/2024"</f>
        <v>10/12/2024</v>
      </c>
      <c r="E131" s="4" t="s">
        <v>321</v>
      </c>
    </row>
    <row r="132" spans="1:5" x14ac:dyDescent="0.25">
      <c r="A132" s="3">
        <v>131</v>
      </c>
      <c r="B132" s="3" t="s">
        <v>322</v>
      </c>
      <c r="C132" s="3"/>
      <c r="D132" s="3" t="str">
        <f>"09/12/2024"</f>
        <v>09/12/2024</v>
      </c>
      <c r="E132" s="4" t="s">
        <v>323</v>
      </c>
    </row>
    <row r="133" spans="1:5" x14ac:dyDescent="0.25">
      <c r="A133" s="3">
        <v>132</v>
      </c>
      <c r="B133" s="3" t="s">
        <v>324</v>
      </c>
      <c r="C133" s="3"/>
      <c r="D133" s="3" t="str">
        <f>"05/12/2024"</f>
        <v>05/12/2024</v>
      </c>
      <c r="E133" s="4" t="s">
        <v>325</v>
      </c>
    </row>
    <row r="134" spans="1:5" x14ac:dyDescent="0.25">
      <c r="A134" s="3">
        <v>133</v>
      </c>
      <c r="B134" s="3" t="s">
        <v>326</v>
      </c>
      <c r="C134" s="3"/>
      <c r="D134" s="3" t="str">
        <f>"01/12/2024"</f>
        <v>01/12/2024</v>
      </c>
      <c r="E134" s="4" t="s">
        <v>327</v>
      </c>
    </row>
    <row r="135" spans="1:5" x14ac:dyDescent="0.25">
      <c r="A135" s="3">
        <v>134</v>
      </c>
      <c r="B135" s="3" t="s">
        <v>328</v>
      </c>
      <c r="C135" s="3"/>
      <c r="D135" s="3" t="str">
        <f>"28/11/2024"</f>
        <v>28/11/2024</v>
      </c>
      <c r="E135" s="4" t="s">
        <v>329</v>
      </c>
    </row>
    <row r="136" spans="1:5" x14ac:dyDescent="0.25">
      <c r="A136" s="3">
        <v>135</v>
      </c>
      <c r="B136" s="3" t="s">
        <v>330</v>
      </c>
      <c r="C136" s="3"/>
      <c r="D136" s="3" t="str">
        <f>"27/11/2024"</f>
        <v>27/11/2024</v>
      </c>
      <c r="E136" s="4" t="s">
        <v>331</v>
      </c>
    </row>
    <row r="137" spans="1:5" x14ac:dyDescent="0.25">
      <c r="A137" s="3">
        <v>136</v>
      </c>
      <c r="B137" s="3" t="s">
        <v>332</v>
      </c>
      <c r="C137" s="3"/>
      <c r="D137" s="3" t="str">
        <f>"27/11/2024"</f>
        <v>27/11/2024</v>
      </c>
      <c r="E137" s="4" t="s">
        <v>333</v>
      </c>
    </row>
    <row r="138" spans="1:5" x14ac:dyDescent="0.25">
      <c r="A138" s="3">
        <v>137</v>
      </c>
      <c r="B138" s="3" t="s">
        <v>334</v>
      </c>
      <c r="C138" s="3"/>
      <c r="D138" s="3" t="str">
        <f>"23/11/2024"</f>
        <v>23/11/2024</v>
      </c>
      <c r="E138" s="4" t="s">
        <v>335</v>
      </c>
    </row>
    <row r="139" spans="1:5" x14ac:dyDescent="0.25">
      <c r="A139" s="3">
        <v>138</v>
      </c>
      <c r="B139" s="3" t="s">
        <v>336</v>
      </c>
      <c r="C139" s="3"/>
      <c r="D139" s="3" t="str">
        <f>"22/11/2024"</f>
        <v>22/11/2024</v>
      </c>
      <c r="E139" s="4" t="s">
        <v>337</v>
      </c>
    </row>
    <row r="140" spans="1:5" x14ac:dyDescent="0.25">
      <c r="A140" s="3">
        <v>139</v>
      </c>
      <c r="B140" s="3" t="s">
        <v>338</v>
      </c>
      <c r="C140" s="3"/>
      <c r="D140" s="3" t="str">
        <f>"19/11/2024"</f>
        <v>19/11/2024</v>
      </c>
      <c r="E140" s="4" t="s">
        <v>339</v>
      </c>
    </row>
    <row r="141" spans="1:5" x14ac:dyDescent="0.25">
      <c r="A141" s="3">
        <v>140</v>
      </c>
      <c r="B141" s="3" t="s">
        <v>340</v>
      </c>
      <c r="C141" s="3"/>
      <c r="D141" s="3" t="str">
        <f>"17/11/2024"</f>
        <v>17/11/2024</v>
      </c>
      <c r="E141" s="4" t="s">
        <v>341</v>
      </c>
    </row>
    <row r="142" spans="1:5" x14ac:dyDescent="0.25">
      <c r="A142" s="3">
        <v>141</v>
      </c>
      <c r="B142" s="3" t="s">
        <v>342</v>
      </c>
      <c r="C142" s="3"/>
      <c r="D142" s="3" t="str">
        <f>"16/11/2024"</f>
        <v>16/11/2024</v>
      </c>
      <c r="E142" s="4" t="s">
        <v>343</v>
      </c>
    </row>
    <row r="143" spans="1:5" x14ac:dyDescent="0.25">
      <c r="A143" s="3">
        <v>142</v>
      </c>
      <c r="B143" s="3" t="s">
        <v>344</v>
      </c>
      <c r="C143" s="3"/>
      <c r="D143" s="3" t="str">
        <f>"15/11/2024"</f>
        <v>15/11/2024</v>
      </c>
      <c r="E143" s="4" t="s">
        <v>345</v>
      </c>
    </row>
    <row r="144" spans="1:5" x14ac:dyDescent="0.25">
      <c r="A144" s="3">
        <v>143</v>
      </c>
      <c r="B144" s="3" t="s">
        <v>346</v>
      </c>
      <c r="C144" s="3"/>
      <c r="D144" s="3" t="str">
        <f>"11/11/2024"</f>
        <v>11/11/2024</v>
      </c>
      <c r="E144" s="4" t="s">
        <v>347</v>
      </c>
    </row>
    <row r="145" spans="1:5" x14ac:dyDescent="0.25">
      <c r="A145" s="3">
        <v>144</v>
      </c>
      <c r="B145" s="3" t="s">
        <v>348</v>
      </c>
      <c r="C145" s="3"/>
      <c r="D145" s="3" t="str">
        <f>"23/01/2026"</f>
        <v>23/01/2026</v>
      </c>
      <c r="E145" s="4" t="s">
        <v>349</v>
      </c>
    </row>
    <row r="146" spans="1:5" x14ac:dyDescent="0.25">
      <c r="A146" s="3">
        <v>145</v>
      </c>
      <c r="B146" s="3" t="s">
        <v>350</v>
      </c>
      <c r="C146" s="3"/>
      <c r="D146" s="3" t="str">
        <f>"25/01/2026"</f>
        <v>25/01/2026</v>
      </c>
      <c r="E146" s="4" t="s">
        <v>351</v>
      </c>
    </row>
    <row r="147" spans="1:5" x14ac:dyDescent="0.25">
      <c r="A147" s="3">
        <v>146</v>
      </c>
      <c r="B147" s="3" t="s">
        <v>352</v>
      </c>
      <c r="C147" s="3"/>
      <c r="D147" s="3" t="str">
        <f>"26/01/2026"</f>
        <v>26/01/2026</v>
      </c>
      <c r="E147" s="4" t="s">
        <v>353</v>
      </c>
    </row>
    <row r="148" spans="1:5" x14ac:dyDescent="0.25">
      <c r="A148" s="3">
        <v>147</v>
      </c>
      <c r="B148" s="3" t="s">
        <v>354</v>
      </c>
      <c r="C148" s="3">
        <v>1</v>
      </c>
      <c r="D148" s="3" t="str">
        <f>"26/01/2026"</f>
        <v>26/01/2026</v>
      </c>
      <c r="E148" s="4" t="s">
        <v>355</v>
      </c>
    </row>
    <row r="149" spans="1:5" x14ac:dyDescent="0.25">
      <c r="A149" s="3">
        <v>148</v>
      </c>
      <c r="B149" s="3" t="s">
        <v>356</v>
      </c>
      <c r="C149" s="3"/>
      <c r="D149" s="3" t="str">
        <f>"22/01/2026"</f>
        <v>22/01/2026</v>
      </c>
      <c r="E149" s="4" t="s">
        <v>357</v>
      </c>
    </row>
    <row r="150" spans="1:5" x14ac:dyDescent="0.25">
      <c r="A150" s="3">
        <v>149</v>
      </c>
      <c r="B150" s="3" t="s">
        <v>358</v>
      </c>
      <c r="C150" s="3"/>
      <c r="D150" s="3" t="str">
        <f>"19/01/2026"</f>
        <v>19/01/2026</v>
      </c>
      <c r="E150" s="4" t="s">
        <v>359</v>
      </c>
    </row>
    <row r="151" spans="1:5" x14ac:dyDescent="0.25">
      <c r="A151" s="3">
        <v>150</v>
      </c>
      <c r="B151" s="3" t="s">
        <v>360</v>
      </c>
      <c r="C151" s="3"/>
      <c r="D151" s="3" t="str">
        <f>"19/01/2026"</f>
        <v>19/01/2026</v>
      </c>
      <c r="E151" s="4" t="s">
        <v>361</v>
      </c>
    </row>
    <row r="152" spans="1:5" x14ac:dyDescent="0.25">
      <c r="A152" s="3">
        <v>151</v>
      </c>
      <c r="B152" s="3" t="s">
        <v>362</v>
      </c>
      <c r="C152" s="3"/>
      <c r="D152" s="3" t="str">
        <f>"13/01/2026"</f>
        <v>13/01/2026</v>
      </c>
      <c r="E152" s="4" t="s">
        <v>363</v>
      </c>
    </row>
    <row r="153" spans="1:5" x14ac:dyDescent="0.25">
      <c r="A153" s="3">
        <v>152</v>
      </c>
      <c r="B153" s="3" t="s">
        <v>364</v>
      </c>
      <c r="C153" s="3"/>
      <c r="D153" s="3" t="str">
        <f>"13/01/2026"</f>
        <v>13/01/2026</v>
      </c>
      <c r="E153" s="4" t="s">
        <v>365</v>
      </c>
    </row>
    <row r="154" spans="1:5" x14ac:dyDescent="0.25">
      <c r="A154" s="3">
        <v>153</v>
      </c>
      <c r="B154" s="3" t="s">
        <v>366</v>
      </c>
      <c r="C154" s="3">
        <v>1</v>
      </c>
      <c r="D154" s="3" t="str">
        <f>"12/01/2026"</f>
        <v>12/01/2026</v>
      </c>
      <c r="E154" s="4" t="s">
        <v>367</v>
      </c>
    </row>
    <row r="155" spans="1:5" x14ac:dyDescent="0.25">
      <c r="A155" s="3">
        <v>154</v>
      </c>
      <c r="B155" s="3" t="s">
        <v>368</v>
      </c>
      <c r="C155" s="3">
        <v>6</v>
      </c>
      <c r="D155" s="3" t="str">
        <f>"07/01/2026"</f>
        <v>07/01/2026</v>
      </c>
      <c r="E155" s="4" t="s">
        <v>369</v>
      </c>
    </row>
    <row r="156" spans="1:5" x14ac:dyDescent="0.25">
      <c r="A156" s="3">
        <v>155</v>
      </c>
      <c r="B156" s="3" t="s">
        <v>370</v>
      </c>
      <c r="C156" s="3">
        <v>6</v>
      </c>
      <c r="D156" s="3" t="str">
        <f>"07/01/2026"</f>
        <v>07/01/2026</v>
      </c>
      <c r="E156" s="4" t="s">
        <v>371</v>
      </c>
    </row>
    <row r="157" spans="1:5" x14ac:dyDescent="0.25">
      <c r="A157" s="3">
        <v>156</v>
      </c>
      <c r="B157" s="3" t="s">
        <v>372</v>
      </c>
      <c r="C157" s="3">
        <v>1</v>
      </c>
      <c r="D157" s="3" t="str">
        <f>"05/01/2026"</f>
        <v>05/01/2026</v>
      </c>
      <c r="E157" s="4" t="s">
        <v>29</v>
      </c>
    </row>
    <row r="158" spans="1:5" x14ac:dyDescent="0.25">
      <c r="A158" s="3">
        <v>157</v>
      </c>
      <c r="B158" s="3" t="s">
        <v>373</v>
      </c>
      <c r="C158" s="3"/>
      <c r="D158" s="3" t="str">
        <f>"26/12/2025"</f>
        <v>26/12/2025</v>
      </c>
      <c r="E158" s="4" t="s">
        <v>374</v>
      </c>
    </row>
    <row r="159" spans="1:5" x14ac:dyDescent="0.25">
      <c r="A159" s="3">
        <v>158</v>
      </c>
      <c r="B159" s="3" t="s">
        <v>375</v>
      </c>
      <c r="C159" s="3">
        <v>9</v>
      </c>
      <c r="D159" s="3" t="str">
        <f>"07/12/2025"</f>
        <v>07/12/2025</v>
      </c>
      <c r="E159" s="4" t="s">
        <v>376</v>
      </c>
    </row>
    <row r="160" spans="1:5" x14ac:dyDescent="0.25">
      <c r="A160" s="3">
        <v>159</v>
      </c>
      <c r="B160" s="3" t="s">
        <v>377</v>
      </c>
      <c r="C160" s="3">
        <v>1</v>
      </c>
      <c r="D160" s="3" t="str">
        <f>"27/11/2025"</f>
        <v>27/11/2025</v>
      </c>
      <c r="E160" s="4" t="s">
        <v>378</v>
      </c>
    </row>
    <row r="161" spans="1:5" x14ac:dyDescent="0.25">
      <c r="A161" s="3">
        <v>160</v>
      </c>
      <c r="B161" s="3" t="s">
        <v>379</v>
      </c>
      <c r="C161" s="3"/>
      <c r="D161" s="3" t="str">
        <f>"20/11/2025"</f>
        <v>20/11/2025</v>
      </c>
      <c r="E161" s="4" t="s">
        <v>380</v>
      </c>
    </row>
    <row r="162" spans="1:5" x14ac:dyDescent="0.25">
      <c r="A162" s="3">
        <v>161</v>
      </c>
      <c r="B162" s="3" t="s">
        <v>381</v>
      </c>
      <c r="C162" s="3">
        <v>6</v>
      </c>
      <c r="D162" s="3" t="str">
        <f>"19/11/2025"</f>
        <v>19/11/2025</v>
      </c>
      <c r="E162" s="4" t="s">
        <v>382</v>
      </c>
    </row>
    <row r="163" spans="1:5" x14ac:dyDescent="0.25">
      <c r="A163" s="3">
        <v>162</v>
      </c>
      <c r="B163" s="3" t="s">
        <v>383</v>
      </c>
      <c r="C163" s="3">
        <v>6</v>
      </c>
      <c r="D163" s="3" t="str">
        <f>"19/11/2025"</f>
        <v>19/11/2025</v>
      </c>
      <c r="E163" s="4" t="s">
        <v>384</v>
      </c>
    </row>
    <row r="164" spans="1:5" x14ac:dyDescent="0.25">
      <c r="A164" s="3">
        <v>163</v>
      </c>
      <c r="B164" s="3" t="s">
        <v>385</v>
      </c>
      <c r="C164" s="3">
        <v>6</v>
      </c>
      <c r="D164" s="3" t="str">
        <f>"19/11/2025"</f>
        <v>19/11/2025</v>
      </c>
      <c r="E164" s="4" t="s">
        <v>386</v>
      </c>
    </row>
    <row r="165" spans="1:5" x14ac:dyDescent="0.25">
      <c r="A165" s="3">
        <v>164</v>
      </c>
      <c r="B165" s="3" t="s">
        <v>387</v>
      </c>
      <c r="C165" s="3"/>
      <c r="D165" s="3" t="str">
        <f>"18/11/2025"</f>
        <v>18/11/2025</v>
      </c>
      <c r="E165" s="4" t="s">
        <v>388</v>
      </c>
    </row>
    <row r="166" spans="1:5" x14ac:dyDescent="0.25">
      <c r="A166" s="3">
        <v>165</v>
      </c>
      <c r="B166" s="3" t="s">
        <v>389</v>
      </c>
      <c r="C166" s="3"/>
      <c r="D166" s="3" t="str">
        <f>"18/11/2025"</f>
        <v>18/11/2025</v>
      </c>
      <c r="E166" s="4" t="s">
        <v>390</v>
      </c>
    </row>
    <row r="167" spans="1:5" x14ac:dyDescent="0.25">
      <c r="A167" s="3">
        <v>166</v>
      </c>
      <c r="B167" s="3" t="s">
        <v>391</v>
      </c>
      <c r="C167" s="3">
        <v>1</v>
      </c>
      <c r="D167" s="3" t="str">
        <f>"17/11/2025"</f>
        <v>17/11/2025</v>
      </c>
      <c r="E167" s="4" t="s">
        <v>392</v>
      </c>
    </row>
    <row r="168" spans="1:5" x14ac:dyDescent="0.25">
      <c r="A168" s="3">
        <v>167</v>
      </c>
      <c r="B168" s="3" t="s">
        <v>393</v>
      </c>
      <c r="C168" s="3"/>
      <c r="D168" s="3" t="str">
        <f>"16/11/2025"</f>
        <v>16/11/2025</v>
      </c>
      <c r="E168" s="4" t="s">
        <v>394</v>
      </c>
    </row>
    <row r="169" spans="1:5" x14ac:dyDescent="0.25">
      <c r="A169" s="3">
        <v>168</v>
      </c>
      <c r="B169" s="3" t="s">
        <v>395</v>
      </c>
      <c r="C169" s="3"/>
      <c r="D169" s="3" t="str">
        <f>"14/11/2025"</f>
        <v>14/11/2025</v>
      </c>
      <c r="E169" s="4" t="s">
        <v>396</v>
      </c>
    </row>
    <row r="170" spans="1:5" x14ac:dyDescent="0.25">
      <c r="A170" s="3">
        <v>169</v>
      </c>
      <c r="B170" s="3" t="s">
        <v>397</v>
      </c>
      <c r="C170" s="3">
        <v>1</v>
      </c>
      <c r="D170" s="3" t="str">
        <f>"13/11/2025"</f>
        <v>13/11/2025</v>
      </c>
      <c r="E170" s="4" t="s">
        <v>398</v>
      </c>
    </row>
    <row r="171" spans="1:5" x14ac:dyDescent="0.25">
      <c r="A171" s="3">
        <v>170</v>
      </c>
      <c r="B171" s="3" t="s">
        <v>399</v>
      </c>
      <c r="C171" s="3"/>
      <c r="D171" s="3" t="str">
        <f>"13/11/2025"</f>
        <v>13/11/2025</v>
      </c>
      <c r="E171" s="4" t="s">
        <v>400</v>
      </c>
    </row>
    <row r="172" spans="1:5" x14ac:dyDescent="0.25">
      <c r="A172" s="3">
        <v>171</v>
      </c>
      <c r="B172" s="3" t="s">
        <v>401</v>
      </c>
      <c r="C172" s="3"/>
      <c r="D172" s="3" t="str">
        <f>"13/11/2025"</f>
        <v>13/11/2025</v>
      </c>
      <c r="E172" s="4" t="s">
        <v>402</v>
      </c>
    </row>
    <row r="173" spans="1:5" x14ac:dyDescent="0.25">
      <c r="A173" s="3">
        <v>172</v>
      </c>
      <c r="B173" s="3" t="s">
        <v>403</v>
      </c>
      <c r="C173" s="3"/>
      <c r="D173" s="3" t="str">
        <f>"12/11/2025"</f>
        <v>12/11/2025</v>
      </c>
      <c r="E173" s="4" t="s">
        <v>404</v>
      </c>
    </row>
    <row r="174" spans="1:5" x14ac:dyDescent="0.25">
      <c r="A174" s="3">
        <v>173</v>
      </c>
      <c r="B174" s="3" t="s">
        <v>405</v>
      </c>
      <c r="C174" s="3"/>
      <c r="D174" s="3" t="str">
        <f>"12/11/2025"</f>
        <v>12/11/2025</v>
      </c>
      <c r="E174" s="4" t="s">
        <v>406</v>
      </c>
    </row>
    <row r="175" spans="1:5" x14ac:dyDescent="0.25">
      <c r="A175" s="3">
        <v>174</v>
      </c>
      <c r="B175" s="3" t="s">
        <v>407</v>
      </c>
      <c r="C175" s="3"/>
      <c r="D175" s="3" t="str">
        <f>"10/11/2025"</f>
        <v>10/11/2025</v>
      </c>
      <c r="E175" s="4" t="s">
        <v>408</v>
      </c>
    </row>
    <row r="176" spans="1:5" x14ac:dyDescent="0.25">
      <c r="A176" s="3">
        <v>175</v>
      </c>
      <c r="B176" s="3" t="s">
        <v>409</v>
      </c>
      <c r="C176" s="3">
        <v>1</v>
      </c>
      <c r="D176" s="3" t="str">
        <f>"10/11/2025"</f>
        <v>10/11/2025</v>
      </c>
      <c r="E176" s="4" t="s">
        <v>410</v>
      </c>
    </row>
    <row r="177" spans="1:5" x14ac:dyDescent="0.25">
      <c r="A177" s="3">
        <v>176</v>
      </c>
      <c r="B177" s="3" t="s">
        <v>411</v>
      </c>
      <c r="C177" s="3">
        <v>1</v>
      </c>
      <c r="D177" s="3" t="str">
        <f>"10/11/2025"</f>
        <v>10/11/2025</v>
      </c>
      <c r="E177" s="4" t="s">
        <v>412</v>
      </c>
    </row>
    <row r="178" spans="1:5" x14ac:dyDescent="0.25">
      <c r="A178" s="3">
        <v>177</v>
      </c>
      <c r="B178" s="3" t="s">
        <v>413</v>
      </c>
      <c r="C178" s="3">
        <v>1</v>
      </c>
      <c r="D178" s="3" t="str">
        <f>"29/01/2026"</f>
        <v>29/01/2026</v>
      </c>
      <c r="E178" s="4" t="s">
        <v>414</v>
      </c>
    </row>
    <row r="179" spans="1:5" x14ac:dyDescent="0.25">
      <c r="A179" s="3">
        <v>178</v>
      </c>
      <c r="B179" s="3" t="s">
        <v>415</v>
      </c>
      <c r="C179" s="3"/>
      <c r="D179" s="3" t="str">
        <f>"03/02/2026"</f>
        <v>03/02/2026</v>
      </c>
      <c r="E179" s="4" t="s">
        <v>416</v>
      </c>
    </row>
    <row r="180" spans="1:5" x14ac:dyDescent="0.25">
      <c r="A180" s="3">
        <v>179</v>
      </c>
      <c r="B180" s="3" t="s">
        <v>417</v>
      </c>
      <c r="C180" s="3"/>
      <c r="D180" s="3" t="str">
        <f>"16/12/2025"</f>
        <v>16/12/2025</v>
      </c>
      <c r="E180" s="4" t="s">
        <v>418</v>
      </c>
    </row>
    <row r="181" spans="1:5" x14ac:dyDescent="0.25">
      <c r="A181" s="3">
        <v>180</v>
      </c>
      <c r="B181" s="3" t="s">
        <v>419</v>
      </c>
      <c r="C181" s="3"/>
      <c r="D181" s="3" t="str">
        <f>"11/12/2025"</f>
        <v>11/12/2025</v>
      </c>
      <c r="E181" s="4" t="s">
        <v>420</v>
      </c>
    </row>
    <row r="182" spans="1:5" x14ac:dyDescent="0.25">
      <c r="A182" s="3">
        <v>181</v>
      </c>
      <c r="B182" s="3" t="s">
        <v>421</v>
      </c>
      <c r="C182" s="3">
        <v>1</v>
      </c>
      <c r="D182" s="3" t="str">
        <f>"04/12/2025"</f>
        <v>04/12/2025</v>
      </c>
      <c r="E182" s="4" t="s">
        <v>422</v>
      </c>
    </row>
    <row r="183" spans="1:5" x14ac:dyDescent="0.25">
      <c r="A183" s="3">
        <v>182</v>
      </c>
      <c r="B183" s="3" t="s">
        <v>423</v>
      </c>
      <c r="C183" s="3">
        <v>1</v>
      </c>
      <c r="D183" s="3" t="str">
        <f>"20/11/2025"</f>
        <v>20/11/2025</v>
      </c>
      <c r="E183" s="4" t="s">
        <v>424</v>
      </c>
    </row>
    <row r="184" spans="1:5" x14ac:dyDescent="0.25">
      <c r="A184" s="3">
        <v>183</v>
      </c>
      <c r="B184" s="3" t="s">
        <v>425</v>
      </c>
      <c r="C184" s="3">
        <v>1</v>
      </c>
      <c r="D184" s="3" t="str">
        <f>"18/11/2025"</f>
        <v>18/11/2025</v>
      </c>
      <c r="E184" s="4" t="s">
        <v>426</v>
      </c>
    </row>
    <row r="185" spans="1:5" x14ac:dyDescent="0.25">
      <c r="A185" s="3">
        <v>184</v>
      </c>
      <c r="B185" s="3" t="s">
        <v>427</v>
      </c>
      <c r="C185" s="3"/>
      <c r="D185" s="3" t="str">
        <f>"15/11/2025"</f>
        <v>15/11/2025</v>
      </c>
      <c r="E185" s="4" t="s">
        <v>428</v>
      </c>
    </row>
    <row r="186" spans="1:5" x14ac:dyDescent="0.25">
      <c r="A186" s="3">
        <v>185</v>
      </c>
      <c r="B186" s="3" t="s">
        <v>429</v>
      </c>
      <c r="C186" s="3"/>
      <c r="D186" s="3" t="str">
        <f>"13/11/2025"</f>
        <v>13/11/2025</v>
      </c>
      <c r="E186" s="4" t="s">
        <v>430</v>
      </c>
    </row>
    <row r="187" spans="1:5" x14ac:dyDescent="0.25">
      <c r="A187" s="3">
        <v>186</v>
      </c>
      <c r="B187" s="3" t="s">
        <v>431</v>
      </c>
      <c r="C187" s="3">
        <v>1</v>
      </c>
      <c r="D187" s="3" t="str">
        <f>"10/11/2025"</f>
        <v>10/11/2025</v>
      </c>
      <c r="E187" s="4" t="s">
        <v>432</v>
      </c>
    </row>
    <row r="188" spans="1:5" x14ac:dyDescent="0.25">
      <c r="A188" s="3">
        <v>187</v>
      </c>
      <c r="B188" s="3" t="s">
        <v>433</v>
      </c>
      <c r="C188" s="3">
        <v>6</v>
      </c>
      <c r="D188" s="3" t="str">
        <f>"06/11/2025"</f>
        <v>06/11/2025</v>
      </c>
      <c r="E188" s="4" t="s">
        <v>434</v>
      </c>
    </row>
    <row r="189" spans="1:5" x14ac:dyDescent="0.25">
      <c r="A189" s="3">
        <v>188</v>
      </c>
      <c r="B189" s="3" t="s">
        <v>435</v>
      </c>
      <c r="C189" s="3">
        <v>1</v>
      </c>
      <c r="D189" s="3" t="str">
        <f>"05/11/2025"</f>
        <v>05/11/2025</v>
      </c>
      <c r="E189" s="4" t="s">
        <v>436</v>
      </c>
    </row>
    <row r="190" spans="1:5" x14ac:dyDescent="0.25">
      <c r="A190" s="3">
        <v>189</v>
      </c>
      <c r="B190" s="3" t="s">
        <v>437</v>
      </c>
      <c r="C190" s="3">
        <v>6</v>
      </c>
      <c r="D190" s="3" t="str">
        <f>"05/11/2025"</f>
        <v>05/11/2025</v>
      </c>
      <c r="E190" s="4" t="s">
        <v>438</v>
      </c>
    </row>
    <row r="191" spans="1:5" x14ac:dyDescent="0.25">
      <c r="A191" s="3">
        <v>190</v>
      </c>
      <c r="B191" s="3" t="s">
        <v>439</v>
      </c>
      <c r="C191" s="3">
        <v>1</v>
      </c>
      <c r="D191" s="3" t="str">
        <f>"04/11/2025"</f>
        <v>04/11/2025</v>
      </c>
      <c r="E191" s="4" t="s">
        <v>440</v>
      </c>
    </row>
    <row r="192" spans="1:5" x14ac:dyDescent="0.25">
      <c r="A192" s="3">
        <v>191</v>
      </c>
      <c r="B192" s="3" t="s">
        <v>441</v>
      </c>
      <c r="C192" s="3"/>
      <c r="D192" s="3" t="str">
        <f>"03/11/2025"</f>
        <v>03/11/2025</v>
      </c>
      <c r="E192" s="4" t="s">
        <v>442</v>
      </c>
    </row>
    <row r="193" spans="1:5" x14ac:dyDescent="0.25">
      <c r="A193" s="3">
        <v>192</v>
      </c>
      <c r="B193" s="3" t="s">
        <v>443</v>
      </c>
      <c r="C193" s="3"/>
      <c r="D193" s="3" t="str">
        <f>"03/11/2025"</f>
        <v>03/11/2025</v>
      </c>
      <c r="E193" s="4" t="s">
        <v>444</v>
      </c>
    </row>
    <row r="194" spans="1:5" x14ac:dyDescent="0.25">
      <c r="A194" s="3">
        <v>193</v>
      </c>
      <c r="B194" s="3" t="s">
        <v>445</v>
      </c>
      <c r="C194" s="3"/>
      <c r="D194" s="3" t="str">
        <f>"03/11/2025"</f>
        <v>03/11/2025</v>
      </c>
      <c r="E194" s="4" t="s">
        <v>446</v>
      </c>
    </row>
    <row r="195" spans="1:5" x14ac:dyDescent="0.25">
      <c r="A195" s="3">
        <v>194</v>
      </c>
      <c r="B195" s="3" t="s">
        <v>447</v>
      </c>
      <c r="C195" s="3">
        <v>1</v>
      </c>
      <c r="D195" s="3" t="str">
        <f>"02/11/2025"</f>
        <v>02/11/2025</v>
      </c>
      <c r="E195" s="4" t="s">
        <v>448</v>
      </c>
    </row>
    <row r="196" spans="1:5" x14ac:dyDescent="0.25">
      <c r="A196" s="3">
        <v>195</v>
      </c>
      <c r="B196" s="3" t="s">
        <v>449</v>
      </c>
      <c r="C196" s="3"/>
      <c r="D196" s="3" t="str">
        <f>"30/10/2025"</f>
        <v>30/10/2025</v>
      </c>
      <c r="E196" s="4" t="s">
        <v>450</v>
      </c>
    </row>
    <row r="197" spans="1:5" x14ac:dyDescent="0.25">
      <c r="A197" s="3">
        <v>196</v>
      </c>
      <c r="B197" s="3" t="s">
        <v>451</v>
      </c>
      <c r="C197" s="3">
        <v>1</v>
      </c>
      <c r="D197" s="3" t="str">
        <f>"30/10/2025"</f>
        <v>30/10/2025</v>
      </c>
      <c r="E197" s="4" t="s">
        <v>452</v>
      </c>
    </row>
    <row r="198" spans="1:5" x14ac:dyDescent="0.25">
      <c r="A198" s="3">
        <v>197</v>
      </c>
      <c r="B198" s="3" t="s">
        <v>453</v>
      </c>
      <c r="C198" s="3"/>
      <c r="D198" s="3" t="str">
        <f>"30/10/2025"</f>
        <v>30/10/2025</v>
      </c>
      <c r="E198" s="4" t="s">
        <v>454</v>
      </c>
    </row>
    <row r="199" spans="1:5" x14ac:dyDescent="0.25">
      <c r="A199" s="3">
        <v>198</v>
      </c>
      <c r="B199" s="3" t="s">
        <v>455</v>
      </c>
      <c r="C199" s="3"/>
      <c r="D199" s="3" t="str">
        <f>"30/10/2025"</f>
        <v>30/10/2025</v>
      </c>
      <c r="E199" s="4" t="s">
        <v>456</v>
      </c>
    </row>
    <row r="200" spans="1:5" x14ac:dyDescent="0.25">
      <c r="A200" s="3">
        <v>199</v>
      </c>
      <c r="B200" s="3" t="s">
        <v>457</v>
      </c>
      <c r="C200" s="3"/>
      <c r="D200" s="3" t="str">
        <f>"29/10/2025"</f>
        <v>29/10/2025</v>
      </c>
      <c r="E200" s="4" t="s">
        <v>458</v>
      </c>
    </row>
    <row r="201" spans="1:5" x14ac:dyDescent="0.25">
      <c r="A201" s="3">
        <v>200</v>
      </c>
      <c r="B201" s="3" t="s">
        <v>459</v>
      </c>
      <c r="C201" s="3"/>
      <c r="D201" s="3" t="str">
        <f>"29/10/2025"</f>
        <v>29/10/2025</v>
      </c>
      <c r="E201" s="4" t="s">
        <v>460</v>
      </c>
    </row>
    <row r="202" spans="1:5" x14ac:dyDescent="0.25">
      <c r="A202" s="3">
        <v>201</v>
      </c>
      <c r="B202" s="3" t="s">
        <v>461</v>
      </c>
      <c r="C202" s="3">
        <v>1</v>
      </c>
      <c r="D202" s="3" t="str">
        <f>"29/10/2025"</f>
        <v>29/10/2025</v>
      </c>
      <c r="E202" s="4" t="s">
        <v>462</v>
      </c>
    </row>
    <row r="203" spans="1:5" x14ac:dyDescent="0.25">
      <c r="A203" s="3">
        <v>202</v>
      </c>
      <c r="B203" s="3" t="s">
        <v>463</v>
      </c>
      <c r="C203" s="3"/>
      <c r="D203" s="3" t="str">
        <f>"28/10/2025"</f>
        <v>28/10/2025</v>
      </c>
      <c r="E203" s="4" t="s">
        <v>464</v>
      </c>
    </row>
    <row r="204" spans="1:5" x14ac:dyDescent="0.25">
      <c r="A204" s="3">
        <v>203</v>
      </c>
      <c r="B204" s="3" t="s">
        <v>465</v>
      </c>
      <c r="C204" s="3"/>
      <c r="D204" s="3" t="str">
        <f>"28/10/2025"</f>
        <v>28/10/2025</v>
      </c>
      <c r="E204" s="4" t="s">
        <v>466</v>
      </c>
    </row>
    <row r="205" spans="1:5" x14ac:dyDescent="0.25">
      <c r="A205" s="3">
        <v>204</v>
      </c>
      <c r="B205" s="3" t="s">
        <v>467</v>
      </c>
      <c r="C205" s="3"/>
      <c r="D205" s="3" t="str">
        <f>"28/10/2025"</f>
        <v>28/10/2025</v>
      </c>
      <c r="E205" s="4" t="s">
        <v>468</v>
      </c>
    </row>
    <row r="206" spans="1:5" x14ac:dyDescent="0.25">
      <c r="A206" s="3">
        <v>205</v>
      </c>
      <c r="B206" s="3" t="s">
        <v>469</v>
      </c>
      <c r="C206" s="3"/>
      <c r="D206" s="3" t="str">
        <f>"27/10/2025"</f>
        <v>27/10/2025</v>
      </c>
      <c r="E206" s="4" t="s">
        <v>470</v>
      </c>
    </row>
    <row r="207" spans="1:5" x14ac:dyDescent="0.25">
      <c r="A207" s="3">
        <v>206</v>
      </c>
      <c r="B207" s="3" t="s">
        <v>471</v>
      </c>
      <c r="C207" s="3"/>
      <c r="D207" s="3" t="str">
        <f>"27/10/2025"</f>
        <v>27/10/2025</v>
      </c>
      <c r="E207" s="4" t="s">
        <v>472</v>
      </c>
    </row>
    <row r="208" spans="1:5" x14ac:dyDescent="0.25">
      <c r="A208" s="3">
        <v>207</v>
      </c>
      <c r="B208" s="3" t="s">
        <v>473</v>
      </c>
      <c r="C208" s="3"/>
      <c r="D208" s="3" t="str">
        <f>"27/10/2025"</f>
        <v>27/10/2025</v>
      </c>
      <c r="E208" s="4" t="s">
        <v>474</v>
      </c>
    </row>
    <row r="209" spans="1:5" x14ac:dyDescent="0.25">
      <c r="A209" s="3">
        <v>208</v>
      </c>
      <c r="B209" s="3" t="s">
        <v>475</v>
      </c>
      <c r="C209" s="3"/>
      <c r="D209" s="3" t="str">
        <f>"24/10/2025"</f>
        <v>24/10/2025</v>
      </c>
      <c r="E209" s="4" t="s">
        <v>476</v>
      </c>
    </row>
    <row r="210" spans="1:5" x14ac:dyDescent="0.25">
      <c r="A210" s="3">
        <v>209</v>
      </c>
      <c r="B210" s="3" t="s">
        <v>477</v>
      </c>
      <c r="C210" s="3">
        <v>1</v>
      </c>
      <c r="D210" s="3" t="str">
        <f>"24/10/2025"</f>
        <v>24/10/2025</v>
      </c>
      <c r="E210" s="4" t="s">
        <v>478</v>
      </c>
    </row>
    <row r="211" spans="1:5" x14ac:dyDescent="0.25">
      <c r="A211" s="3">
        <v>210</v>
      </c>
      <c r="B211" s="3" t="s">
        <v>479</v>
      </c>
      <c r="C211" s="3"/>
      <c r="D211" s="3" t="str">
        <f>"24/10/2025"</f>
        <v>24/10/2025</v>
      </c>
      <c r="E211" s="4" t="s">
        <v>480</v>
      </c>
    </row>
    <row r="212" spans="1:5" x14ac:dyDescent="0.25">
      <c r="A212" s="3">
        <v>211</v>
      </c>
      <c r="B212" s="3" t="s">
        <v>481</v>
      </c>
      <c r="C212" s="3"/>
      <c r="D212" s="3" t="str">
        <f>"24/10/2025"</f>
        <v>24/10/2025</v>
      </c>
      <c r="E212" s="4" t="s">
        <v>482</v>
      </c>
    </row>
    <row r="213" spans="1:5" x14ac:dyDescent="0.25">
      <c r="A213" s="3">
        <v>212</v>
      </c>
      <c r="B213" s="3" t="s">
        <v>483</v>
      </c>
      <c r="C213" s="3">
        <v>1</v>
      </c>
      <c r="D213" s="3" t="str">
        <f>"24/10/2025"</f>
        <v>24/10/2025</v>
      </c>
      <c r="E213" s="4" t="s">
        <v>484</v>
      </c>
    </row>
    <row r="214" spans="1:5" x14ac:dyDescent="0.25">
      <c r="A214" s="3">
        <v>213</v>
      </c>
      <c r="B214" s="3" t="s">
        <v>485</v>
      </c>
      <c r="C214" s="3"/>
      <c r="D214" s="3" t="str">
        <f>"24/10/2025"</f>
        <v>24/10/2025</v>
      </c>
      <c r="E214" s="4" t="s">
        <v>486</v>
      </c>
    </row>
    <row r="215" spans="1:5" x14ac:dyDescent="0.25">
      <c r="A215" s="3">
        <v>214</v>
      </c>
      <c r="B215" s="3" t="s">
        <v>487</v>
      </c>
      <c r="C215" s="3"/>
      <c r="D215" s="3" t="str">
        <f>"23/10/2025"</f>
        <v>23/10/2025</v>
      </c>
      <c r="E215" s="4" t="s">
        <v>488</v>
      </c>
    </row>
    <row r="216" spans="1:5" x14ac:dyDescent="0.25">
      <c r="A216" s="3">
        <v>215</v>
      </c>
      <c r="B216" s="3" t="s">
        <v>489</v>
      </c>
      <c r="C216" s="3">
        <v>6</v>
      </c>
      <c r="D216" s="3" t="str">
        <f>"23/10/2025"</f>
        <v>23/10/2025</v>
      </c>
      <c r="E216" s="4" t="s">
        <v>490</v>
      </c>
    </row>
    <row r="217" spans="1:5" x14ac:dyDescent="0.25">
      <c r="A217" s="3">
        <v>216</v>
      </c>
      <c r="B217" s="3" t="s">
        <v>491</v>
      </c>
      <c r="C217" s="3"/>
      <c r="D217" s="3" t="str">
        <f>"23/10/2025"</f>
        <v>23/10/2025</v>
      </c>
      <c r="E217" s="4" t="s">
        <v>492</v>
      </c>
    </row>
    <row r="218" spans="1:5" x14ac:dyDescent="0.25">
      <c r="A218" s="3">
        <v>217</v>
      </c>
      <c r="B218" s="3" t="s">
        <v>493</v>
      </c>
      <c r="C218" s="3">
        <v>1</v>
      </c>
      <c r="D218" s="3" t="str">
        <f>"23/10/2025"</f>
        <v>23/10/2025</v>
      </c>
      <c r="E218" s="4" t="s">
        <v>494</v>
      </c>
    </row>
    <row r="219" spans="1:5" x14ac:dyDescent="0.25">
      <c r="A219" s="3">
        <v>218</v>
      </c>
      <c r="B219" s="3" t="s">
        <v>495</v>
      </c>
      <c r="C219" s="3">
        <v>1</v>
      </c>
      <c r="D219" s="3" t="str">
        <f>"22/10/2025"</f>
        <v>22/10/2025</v>
      </c>
      <c r="E219" s="4" t="s">
        <v>496</v>
      </c>
    </row>
    <row r="220" spans="1:5" x14ac:dyDescent="0.25">
      <c r="A220" s="3">
        <v>219</v>
      </c>
      <c r="B220" s="3" t="s">
        <v>497</v>
      </c>
      <c r="C220" s="3"/>
      <c r="D220" s="3" t="str">
        <f>"22/10/2025"</f>
        <v>22/10/2025</v>
      </c>
      <c r="E220" s="4" t="s">
        <v>498</v>
      </c>
    </row>
    <row r="221" spans="1:5" x14ac:dyDescent="0.25">
      <c r="A221" s="3">
        <v>220</v>
      </c>
      <c r="B221" s="3" t="s">
        <v>499</v>
      </c>
      <c r="C221" s="3"/>
      <c r="D221" s="3" t="str">
        <f>"22/10/2025"</f>
        <v>22/10/2025</v>
      </c>
      <c r="E221" s="4" t="s">
        <v>500</v>
      </c>
    </row>
    <row r="222" spans="1:5" x14ac:dyDescent="0.25">
      <c r="A222" s="3">
        <v>221</v>
      </c>
      <c r="B222" s="3" t="s">
        <v>501</v>
      </c>
      <c r="C222" s="3"/>
      <c r="D222" s="3" t="str">
        <f>"22/10/2025"</f>
        <v>22/10/2025</v>
      </c>
      <c r="E222" s="4" t="s">
        <v>502</v>
      </c>
    </row>
    <row r="223" spans="1:5" x14ac:dyDescent="0.25">
      <c r="A223" s="3">
        <v>222</v>
      </c>
      <c r="B223" s="3" t="s">
        <v>503</v>
      </c>
      <c r="C223" s="3"/>
      <c r="D223" s="3" t="str">
        <f>"21/10/2025"</f>
        <v>21/10/2025</v>
      </c>
      <c r="E223" s="4" t="s">
        <v>504</v>
      </c>
    </row>
    <row r="224" spans="1:5" x14ac:dyDescent="0.25">
      <c r="A224" s="3">
        <v>223</v>
      </c>
      <c r="B224" s="3" t="s">
        <v>505</v>
      </c>
      <c r="C224" s="3">
        <v>1</v>
      </c>
      <c r="D224" s="3" t="str">
        <f>"21/10/2025"</f>
        <v>21/10/2025</v>
      </c>
      <c r="E224" s="4" t="s">
        <v>506</v>
      </c>
    </row>
    <row r="225" spans="1:5" x14ac:dyDescent="0.25">
      <c r="A225" s="3">
        <v>224</v>
      </c>
      <c r="B225" s="3" t="s">
        <v>507</v>
      </c>
      <c r="C225" s="3"/>
      <c r="D225" s="3" t="str">
        <f>"21/10/2025"</f>
        <v>21/10/2025</v>
      </c>
      <c r="E225" s="4" t="s">
        <v>508</v>
      </c>
    </row>
    <row r="226" spans="1:5" x14ac:dyDescent="0.25">
      <c r="A226" s="3">
        <v>225</v>
      </c>
      <c r="B226" s="3" t="s">
        <v>509</v>
      </c>
      <c r="C226" s="3"/>
      <c r="D226" s="3" t="str">
        <f>"21/10/2025"</f>
        <v>21/10/2025</v>
      </c>
      <c r="E226" s="4" t="s">
        <v>510</v>
      </c>
    </row>
    <row r="227" spans="1:5" x14ac:dyDescent="0.25">
      <c r="A227" s="3">
        <v>226</v>
      </c>
      <c r="B227" s="3" t="s">
        <v>511</v>
      </c>
      <c r="C227" s="3"/>
      <c r="D227" s="3" t="str">
        <f>"21/10/2025"</f>
        <v>21/10/2025</v>
      </c>
      <c r="E227" s="4" t="s">
        <v>512</v>
      </c>
    </row>
    <row r="228" spans="1:5" x14ac:dyDescent="0.25">
      <c r="A228" s="3">
        <v>227</v>
      </c>
      <c r="B228" s="3" t="s">
        <v>513</v>
      </c>
      <c r="C228" s="3">
        <v>9</v>
      </c>
      <c r="D228" s="3" t="str">
        <f>"21/10/2025"</f>
        <v>21/10/2025</v>
      </c>
      <c r="E228" s="4" t="s">
        <v>514</v>
      </c>
    </row>
    <row r="229" spans="1:5" x14ac:dyDescent="0.25">
      <c r="A229" s="3">
        <v>228</v>
      </c>
      <c r="B229" s="3" t="s">
        <v>515</v>
      </c>
      <c r="C229" s="3">
        <v>1</v>
      </c>
      <c r="D229" s="3" t="str">
        <f>"21/10/2025"</f>
        <v>21/10/2025</v>
      </c>
      <c r="E229" s="4" t="s">
        <v>516</v>
      </c>
    </row>
    <row r="230" spans="1:5" x14ac:dyDescent="0.25">
      <c r="A230" s="3">
        <v>229</v>
      </c>
      <c r="B230" s="3" t="s">
        <v>517</v>
      </c>
      <c r="C230" s="3">
        <v>1</v>
      </c>
      <c r="D230" s="3" t="str">
        <f>"20/10/2025"</f>
        <v>20/10/2025</v>
      </c>
      <c r="E230" s="4" t="s">
        <v>518</v>
      </c>
    </row>
    <row r="231" spans="1:5" x14ac:dyDescent="0.25">
      <c r="A231" s="3">
        <v>230</v>
      </c>
      <c r="B231" s="3" t="s">
        <v>519</v>
      </c>
      <c r="C231" s="3"/>
      <c r="D231" s="3" t="str">
        <f>"20/10/2025"</f>
        <v>20/10/2025</v>
      </c>
      <c r="E231" s="4" t="s">
        <v>520</v>
      </c>
    </row>
    <row r="232" spans="1:5" x14ac:dyDescent="0.25">
      <c r="A232" s="3">
        <v>231</v>
      </c>
      <c r="B232" s="3" t="s">
        <v>521</v>
      </c>
      <c r="C232" s="3"/>
      <c r="D232" s="3" t="str">
        <f>"20/10/2025"</f>
        <v>20/10/2025</v>
      </c>
      <c r="E232" s="4" t="s">
        <v>522</v>
      </c>
    </row>
    <row r="233" spans="1:5" x14ac:dyDescent="0.25">
      <c r="A233" s="3">
        <v>232</v>
      </c>
      <c r="B233" s="3" t="s">
        <v>523</v>
      </c>
      <c r="C233" s="3">
        <v>1</v>
      </c>
      <c r="D233" s="3" t="str">
        <f>"19/10/2025"</f>
        <v>19/10/2025</v>
      </c>
      <c r="E233" s="4" t="s">
        <v>524</v>
      </c>
    </row>
    <row r="234" spans="1:5" x14ac:dyDescent="0.25">
      <c r="A234" s="3">
        <v>233</v>
      </c>
      <c r="B234" s="3" t="s">
        <v>525</v>
      </c>
      <c r="C234" s="3"/>
      <c r="D234" s="3" t="str">
        <f>"18/10/2025"</f>
        <v>18/10/2025</v>
      </c>
      <c r="E234" s="4" t="s">
        <v>526</v>
      </c>
    </row>
    <row r="235" spans="1:5" x14ac:dyDescent="0.25">
      <c r="A235" s="3">
        <v>234</v>
      </c>
      <c r="B235" s="3" t="s">
        <v>527</v>
      </c>
      <c r="C235" s="3">
        <v>1</v>
      </c>
      <c r="D235" s="3" t="str">
        <f>"17/10/2025"</f>
        <v>17/10/2025</v>
      </c>
      <c r="E235" s="4" t="s">
        <v>528</v>
      </c>
    </row>
    <row r="236" spans="1:5" x14ac:dyDescent="0.25">
      <c r="A236" s="3">
        <v>235</v>
      </c>
      <c r="B236" s="3" t="s">
        <v>529</v>
      </c>
      <c r="C236" s="3">
        <v>1</v>
      </c>
      <c r="D236" s="3" t="str">
        <f>"17/10/2025"</f>
        <v>17/10/2025</v>
      </c>
      <c r="E236" s="4" t="s">
        <v>530</v>
      </c>
    </row>
    <row r="237" spans="1:5" x14ac:dyDescent="0.25">
      <c r="A237" s="3">
        <v>236</v>
      </c>
      <c r="B237" s="3" t="s">
        <v>531</v>
      </c>
      <c r="C237" s="3"/>
      <c r="D237" s="3" t="str">
        <f>"16/10/2025"</f>
        <v>16/10/2025</v>
      </c>
      <c r="E237" s="4" t="s">
        <v>532</v>
      </c>
    </row>
    <row r="238" spans="1:5" x14ac:dyDescent="0.25">
      <c r="A238" s="3">
        <v>237</v>
      </c>
      <c r="B238" s="3" t="s">
        <v>533</v>
      </c>
      <c r="C238" s="3"/>
      <c r="D238" s="3" t="str">
        <f>"04/02/2026"</f>
        <v>04/02/2026</v>
      </c>
      <c r="E238" s="4" t="s">
        <v>534</v>
      </c>
    </row>
    <row r="239" spans="1:5" x14ac:dyDescent="0.25">
      <c r="A239" s="3">
        <v>238</v>
      </c>
      <c r="B239" s="3" t="s">
        <v>535</v>
      </c>
      <c r="C239" s="3"/>
      <c r="D239" s="3" t="str">
        <f>"04/02/2026"</f>
        <v>04/02/2026</v>
      </c>
      <c r="E239" s="4" t="s">
        <v>536</v>
      </c>
    </row>
    <row r="240" spans="1:5" x14ac:dyDescent="0.25">
      <c r="A240" s="3">
        <v>239</v>
      </c>
      <c r="B240" s="3" t="s">
        <v>537</v>
      </c>
      <c r="C240" s="3"/>
      <c r="D240" s="3" t="str">
        <f>"01/02/2026"</f>
        <v>01/02/2026</v>
      </c>
      <c r="E240" s="4" t="s">
        <v>538</v>
      </c>
    </row>
    <row r="241" spans="1:5" x14ac:dyDescent="0.25">
      <c r="A241" s="3">
        <v>240</v>
      </c>
      <c r="B241" s="3" t="s">
        <v>539</v>
      </c>
      <c r="C241" s="3">
        <v>9</v>
      </c>
      <c r="D241" s="3" t="str">
        <f>"31/01/2026"</f>
        <v>31/01/2026</v>
      </c>
      <c r="E241" s="4" t="s">
        <v>540</v>
      </c>
    </row>
    <row r="242" spans="1:5" x14ac:dyDescent="0.25">
      <c r="A242" s="3">
        <v>241</v>
      </c>
      <c r="B242" s="3" t="s">
        <v>541</v>
      </c>
      <c r="C242" s="3"/>
      <c r="D242" s="3" t="str">
        <f>"30/01/2026"</f>
        <v>30/01/2026</v>
      </c>
      <c r="E242" s="4" t="s">
        <v>542</v>
      </c>
    </row>
    <row r="243" spans="1:5" x14ac:dyDescent="0.25">
      <c r="A243" s="3">
        <v>242</v>
      </c>
      <c r="B243" s="3" t="s">
        <v>543</v>
      </c>
      <c r="C243" s="3"/>
      <c r="D243" s="3" t="str">
        <f>"29/01/2026"</f>
        <v>29/01/2026</v>
      </c>
      <c r="E243" s="4" t="s">
        <v>544</v>
      </c>
    </row>
    <row r="244" spans="1:5" x14ac:dyDescent="0.25">
      <c r="A244" s="3">
        <v>243</v>
      </c>
      <c r="B244" s="3" t="s">
        <v>545</v>
      </c>
      <c r="C244" s="3"/>
      <c r="D244" s="3" t="str">
        <f>"29/01/2026"</f>
        <v>29/01/2026</v>
      </c>
      <c r="E244" s="4" t="s">
        <v>546</v>
      </c>
    </row>
    <row r="245" spans="1:5" x14ac:dyDescent="0.25">
      <c r="A245" s="3">
        <v>244</v>
      </c>
      <c r="B245" s="3" t="s">
        <v>37</v>
      </c>
      <c r="C245" s="3"/>
      <c r="D245" s="3" t="str">
        <f>"28/01/2026"</f>
        <v>28/01/2026</v>
      </c>
      <c r="E245" s="4" t="s">
        <v>36</v>
      </c>
    </row>
    <row r="246" spans="1:5" x14ac:dyDescent="0.25">
      <c r="A246" s="3">
        <v>245</v>
      </c>
      <c r="B246" s="3" t="s">
        <v>547</v>
      </c>
      <c r="C246" s="3"/>
      <c r="D246" s="3" t="str">
        <f>"27/01/2026"</f>
        <v>27/01/2026</v>
      </c>
      <c r="E246" s="4" t="s">
        <v>548</v>
      </c>
    </row>
    <row r="247" spans="1:5" x14ac:dyDescent="0.25">
      <c r="A247" s="3">
        <v>246</v>
      </c>
      <c r="B247" s="3" t="s">
        <v>549</v>
      </c>
      <c r="C247" s="3"/>
      <c r="D247" s="3" t="str">
        <f>"11/01/2026"</f>
        <v>11/01/2026</v>
      </c>
      <c r="E247" s="4" t="s">
        <v>550</v>
      </c>
    </row>
    <row r="248" spans="1:5" x14ac:dyDescent="0.25">
      <c r="A248" s="3">
        <v>247</v>
      </c>
      <c r="B248" s="3" t="s">
        <v>551</v>
      </c>
      <c r="C248" s="3">
        <v>9</v>
      </c>
      <c r="D248" s="3" t="str">
        <f>"27/09/2025"</f>
        <v>27/09/2025</v>
      </c>
      <c r="E248" s="4" t="s">
        <v>552</v>
      </c>
    </row>
    <row r="249" spans="1:5" x14ac:dyDescent="0.25">
      <c r="A249" s="3">
        <v>248</v>
      </c>
      <c r="B249" s="3" t="s">
        <v>553</v>
      </c>
      <c r="C249" s="3">
        <v>9</v>
      </c>
      <c r="D249" s="3" t="str">
        <f>"18/02/2026"</f>
        <v>18/02/2026</v>
      </c>
      <c r="E249" s="4" t="s">
        <v>554</v>
      </c>
    </row>
    <row r="250" spans="1:5" x14ac:dyDescent="0.25">
      <c r="A250" s="3">
        <v>249</v>
      </c>
      <c r="B250" s="3" t="s">
        <v>555</v>
      </c>
      <c r="C250" s="3"/>
      <c r="D250" s="3" t="str">
        <f>"05/03/2026"</f>
        <v>05/03/2026</v>
      </c>
      <c r="E250" s="4" t="s">
        <v>556</v>
      </c>
    </row>
    <row r="251" spans="1:5" x14ac:dyDescent="0.25">
      <c r="A251" s="3">
        <v>250</v>
      </c>
      <c r="B251" s="3" t="s">
        <v>557</v>
      </c>
      <c r="C251" s="3"/>
      <c r="D251" s="3" t="str">
        <f>"05/03/2026"</f>
        <v>05/03/2026</v>
      </c>
      <c r="E251" s="4" t="s">
        <v>558</v>
      </c>
    </row>
    <row r="252" spans="1:5" x14ac:dyDescent="0.25">
      <c r="A252" s="3">
        <v>251</v>
      </c>
      <c r="B252" s="3" t="s">
        <v>559</v>
      </c>
      <c r="C252" s="3"/>
      <c r="D252" s="3" t="str">
        <f>"07/03/2026"</f>
        <v>07/03/2026</v>
      </c>
      <c r="E252" s="4" t="s">
        <v>560</v>
      </c>
    </row>
    <row r="253" spans="1:5" x14ac:dyDescent="0.25">
      <c r="A253" s="3">
        <v>252</v>
      </c>
      <c r="B253" s="3" t="s">
        <v>561</v>
      </c>
      <c r="C253" s="3">
        <v>6</v>
      </c>
      <c r="D253" s="3" t="str">
        <f>"07/03/2026"</f>
        <v>07/03/2026</v>
      </c>
      <c r="E253" s="4" t="s">
        <v>562</v>
      </c>
    </row>
    <row r="254" spans="1:5" x14ac:dyDescent="0.25">
      <c r="A254" s="3">
        <v>253</v>
      </c>
      <c r="B254" s="3" t="s">
        <v>563</v>
      </c>
      <c r="C254" s="3"/>
      <c r="D254" s="3" t="str">
        <f>"07/03/2026"</f>
        <v>07/03/2026</v>
      </c>
      <c r="E254" s="4" t="s">
        <v>564</v>
      </c>
    </row>
    <row r="255" spans="1:5" x14ac:dyDescent="0.25">
      <c r="A255" s="3">
        <v>254</v>
      </c>
      <c r="B255" s="3" t="s">
        <v>565</v>
      </c>
      <c r="C255" s="3"/>
      <c r="D255" s="3" t="str">
        <f>"07/03/2026"</f>
        <v>07/03/2026</v>
      </c>
      <c r="E255" s="4" t="s">
        <v>566</v>
      </c>
    </row>
    <row r="256" spans="1:5" x14ac:dyDescent="0.25">
      <c r="A256" s="3">
        <v>255</v>
      </c>
      <c r="B256" s="3" t="s">
        <v>567</v>
      </c>
      <c r="C256" s="3"/>
      <c r="D256" s="3" t="str">
        <f>"06/03/2026"</f>
        <v>06/03/2026</v>
      </c>
      <c r="E256" s="4" t="s">
        <v>568</v>
      </c>
    </row>
    <row r="257" spans="1:5" x14ac:dyDescent="0.25">
      <c r="A257" s="3">
        <v>256</v>
      </c>
      <c r="B257" s="3" t="s">
        <v>569</v>
      </c>
      <c r="C257" s="3">
        <v>6</v>
      </c>
      <c r="D257" s="3" t="str">
        <f>"06/03/2026"</f>
        <v>06/03/2026</v>
      </c>
      <c r="E257" s="4" t="s">
        <v>570</v>
      </c>
    </row>
    <row r="258" spans="1:5" x14ac:dyDescent="0.25">
      <c r="A258" s="3">
        <v>257</v>
      </c>
      <c r="B258" s="3" t="s">
        <v>571</v>
      </c>
      <c r="C258" s="3">
        <v>6</v>
      </c>
      <c r="D258" s="3" t="str">
        <f>"06/03/2026"</f>
        <v>06/03/2026</v>
      </c>
      <c r="E258" s="4" t="s">
        <v>572</v>
      </c>
    </row>
    <row r="259" spans="1:5" x14ac:dyDescent="0.25">
      <c r="A259" s="3">
        <v>258</v>
      </c>
      <c r="B259" s="3" t="s">
        <v>573</v>
      </c>
      <c r="C259" s="3">
        <v>6</v>
      </c>
      <c r="D259" s="3" t="str">
        <f>"05/03/2026"</f>
        <v>05/03/2026</v>
      </c>
      <c r="E259" s="4" t="s">
        <v>574</v>
      </c>
    </row>
    <row r="260" spans="1:5" x14ac:dyDescent="0.25">
      <c r="A260" s="3">
        <v>259</v>
      </c>
      <c r="B260" s="3" t="s">
        <v>575</v>
      </c>
      <c r="C260" s="3"/>
      <c r="D260" s="3" t="str">
        <f>"05/03/2026"</f>
        <v>05/03/2026</v>
      </c>
      <c r="E260" s="4" t="s">
        <v>576</v>
      </c>
    </row>
    <row r="261" spans="1:5" x14ac:dyDescent="0.25">
      <c r="A261" s="3">
        <v>260</v>
      </c>
      <c r="B261" s="3" t="s">
        <v>577</v>
      </c>
      <c r="C261" s="3">
        <v>9</v>
      </c>
      <c r="D261" s="3" t="str">
        <f>"05/03/2026"</f>
        <v>05/03/2026</v>
      </c>
      <c r="E261" s="4" t="s">
        <v>578</v>
      </c>
    </row>
    <row r="262" spans="1:5" x14ac:dyDescent="0.25">
      <c r="A262" s="3">
        <v>261</v>
      </c>
      <c r="B262" s="3" t="s">
        <v>579</v>
      </c>
      <c r="C262" s="3">
        <v>6</v>
      </c>
      <c r="D262" s="3" t="str">
        <f>"05/03/2026"</f>
        <v>05/03/2026</v>
      </c>
      <c r="E262" s="4" t="s">
        <v>580</v>
      </c>
    </row>
    <row r="263" spans="1:5" x14ac:dyDescent="0.25">
      <c r="A263" s="3">
        <v>262</v>
      </c>
      <c r="B263" s="3" t="s">
        <v>581</v>
      </c>
      <c r="C263" s="3">
        <v>6</v>
      </c>
      <c r="D263" s="3" t="str">
        <f>"05/03/2026"</f>
        <v>05/03/2026</v>
      </c>
      <c r="E263" s="4" t="s">
        <v>582</v>
      </c>
    </row>
    <row r="264" spans="1:5" x14ac:dyDescent="0.25">
      <c r="A264" s="3">
        <v>263</v>
      </c>
      <c r="B264" s="3" t="s">
        <v>583</v>
      </c>
      <c r="C264" s="3">
        <v>6</v>
      </c>
      <c r="D264" s="3" t="str">
        <f>"04/03/2026"</f>
        <v>04/03/2026</v>
      </c>
      <c r="E264" s="4" t="s">
        <v>584</v>
      </c>
    </row>
    <row r="265" spans="1:5" x14ac:dyDescent="0.25">
      <c r="A265" s="3">
        <v>264</v>
      </c>
      <c r="B265" s="3" t="s">
        <v>585</v>
      </c>
      <c r="C265" s="3">
        <v>6</v>
      </c>
      <c r="D265" s="3" t="str">
        <f>"04/03/2026"</f>
        <v>04/03/2026</v>
      </c>
      <c r="E265" s="4" t="s">
        <v>586</v>
      </c>
    </row>
    <row r="266" spans="1:5" x14ac:dyDescent="0.25">
      <c r="A266" s="3">
        <v>265</v>
      </c>
      <c r="B266" s="3" t="s">
        <v>587</v>
      </c>
      <c r="C266" s="3">
        <v>6</v>
      </c>
      <c r="D266" s="3" t="str">
        <f>"04/03/2026"</f>
        <v>04/03/2026</v>
      </c>
      <c r="E266" s="4" t="s">
        <v>588</v>
      </c>
    </row>
    <row r="267" spans="1:5" x14ac:dyDescent="0.25">
      <c r="A267" s="3">
        <v>266</v>
      </c>
      <c r="B267" s="3" t="s">
        <v>589</v>
      </c>
      <c r="C267" s="3">
        <v>6</v>
      </c>
      <c r="D267" s="3" t="str">
        <f>"04/03/2026"</f>
        <v>04/03/2026</v>
      </c>
      <c r="E267" s="4" t="s">
        <v>590</v>
      </c>
    </row>
    <row r="268" spans="1:5" x14ac:dyDescent="0.25">
      <c r="A268" s="3">
        <v>267</v>
      </c>
      <c r="B268" s="3" t="s">
        <v>591</v>
      </c>
      <c r="C268" s="3">
        <v>1</v>
      </c>
      <c r="D268" s="3" t="str">
        <f>"03/03/2026"</f>
        <v>03/03/2026</v>
      </c>
      <c r="E268" s="4" t="s">
        <v>592</v>
      </c>
    </row>
    <row r="269" spans="1:5" x14ac:dyDescent="0.25">
      <c r="A269" s="3">
        <v>268</v>
      </c>
      <c r="B269" s="3" t="s">
        <v>593</v>
      </c>
      <c r="C269" s="3">
        <v>6</v>
      </c>
      <c r="D269" s="3" t="str">
        <f>"03/03/2026"</f>
        <v>03/03/2026</v>
      </c>
      <c r="E269" s="4" t="s">
        <v>594</v>
      </c>
    </row>
    <row r="270" spans="1:5" x14ac:dyDescent="0.25">
      <c r="A270" s="3">
        <v>269</v>
      </c>
      <c r="B270" s="3" t="s">
        <v>595</v>
      </c>
      <c r="C270" s="3"/>
      <c r="D270" s="3" t="str">
        <f>"03/03/2026"</f>
        <v>03/03/2026</v>
      </c>
      <c r="E270" s="4" t="s">
        <v>596</v>
      </c>
    </row>
    <row r="271" spans="1:5" x14ac:dyDescent="0.25">
      <c r="A271" s="3">
        <v>270</v>
      </c>
      <c r="B271" s="3" t="s">
        <v>597</v>
      </c>
      <c r="C271" s="3">
        <v>6</v>
      </c>
      <c r="D271" s="3" t="str">
        <f>"03/03/2026"</f>
        <v>03/03/2026</v>
      </c>
      <c r="E271" s="4" t="s">
        <v>598</v>
      </c>
    </row>
    <row r="272" spans="1:5" x14ac:dyDescent="0.25">
      <c r="A272" s="3">
        <v>271</v>
      </c>
      <c r="B272" s="3" t="s">
        <v>599</v>
      </c>
      <c r="C272" s="3">
        <v>6</v>
      </c>
      <c r="D272" s="3" t="str">
        <f>"03/03/2026"</f>
        <v>03/03/2026</v>
      </c>
      <c r="E272" s="4" t="s">
        <v>600</v>
      </c>
    </row>
    <row r="273" spans="1:5" x14ac:dyDescent="0.25">
      <c r="A273" s="3">
        <v>272</v>
      </c>
      <c r="B273" s="3" t="s">
        <v>601</v>
      </c>
      <c r="C273" s="3">
        <v>6</v>
      </c>
      <c r="D273" s="3" t="str">
        <f>"03/03/2026"</f>
        <v>03/03/2026</v>
      </c>
      <c r="E273" s="4" t="s">
        <v>602</v>
      </c>
    </row>
    <row r="274" spans="1:5" x14ac:dyDescent="0.25">
      <c r="A274" s="3">
        <v>273</v>
      </c>
      <c r="B274" s="3" t="s">
        <v>603</v>
      </c>
      <c r="C274" s="3">
        <v>6</v>
      </c>
      <c r="D274" s="3" t="str">
        <f>"03/03/2026"</f>
        <v>03/03/2026</v>
      </c>
      <c r="E274" s="4" t="s">
        <v>604</v>
      </c>
    </row>
    <row r="275" spans="1:5" x14ac:dyDescent="0.25">
      <c r="A275" s="3">
        <v>274</v>
      </c>
      <c r="B275" s="3" t="s">
        <v>605</v>
      </c>
      <c r="C275" s="3">
        <v>6</v>
      </c>
      <c r="D275" s="3" t="str">
        <f>"03/03/2026"</f>
        <v>03/03/2026</v>
      </c>
      <c r="E275" s="4" t="s">
        <v>606</v>
      </c>
    </row>
    <row r="276" spans="1:5" x14ac:dyDescent="0.25">
      <c r="A276" s="3">
        <v>275</v>
      </c>
      <c r="B276" s="3" t="s">
        <v>607</v>
      </c>
      <c r="C276" s="3"/>
      <c r="D276" s="3" t="str">
        <f>"03/03/2026"</f>
        <v>03/03/2026</v>
      </c>
      <c r="E276" s="4" t="s">
        <v>608</v>
      </c>
    </row>
    <row r="277" spans="1:5" x14ac:dyDescent="0.25">
      <c r="A277" s="3">
        <v>276</v>
      </c>
      <c r="B277" s="3" t="s">
        <v>609</v>
      </c>
      <c r="C277" s="3"/>
      <c r="D277" s="3" t="str">
        <f>"03/03/2026"</f>
        <v>03/03/2026</v>
      </c>
      <c r="E277" s="4" t="s">
        <v>610</v>
      </c>
    </row>
    <row r="278" spans="1:5" x14ac:dyDescent="0.25">
      <c r="A278" s="3">
        <v>277</v>
      </c>
      <c r="B278" s="3" t="s">
        <v>611</v>
      </c>
      <c r="C278" s="3"/>
      <c r="D278" s="3" t="str">
        <f>"03/03/2026"</f>
        <v>03/03/2026</v>
      </c>
      <c r="E278" s="4" t="s">
        <v>612</v>
      </c>
    </row>
    <row r="279" spans="1:5" x14ac:dyDescent="0.25">
      <c r="A279" s="3">
        <v>278</v>
      </c>
      <c r="B279" s="3" t="s">
        <v>613</v>
      </c>
      <c r="C279" s="3"/>
      <c r="D279" s="3" t="str">
        <f>"03/03/2026"</f>
        <v>03/03/2026</v>
      </c>
      <c r="E279" s="4" t="s">
        <v>614</v>
      </c>
    </row>
    <row r="280" spans="1:5" x14ac:dyDescent="0.25">
      <c r="A280" s="3">
        <v>279</v>
      </c>
      <c r="B280" s="3" t="s">
        <v>615</v>
      </c>
      <c r="C280" s="3">
        <v>1</v>
      </c>
      <c r="D280" s="3" t="str">
        <f>"03/03/2026"</f>
        <v>03/03/2026</v>
      </c>
      <c r="E280" s="4" t="s">
        <v>616</v>
      </c>
    </row>
    <row r="281" spans="1:5" x14ac:dyDescent="0.25">
      <c r="A281" s="3">
        <v>280</v>
      </c>
      <c r="B281" s="3" t="s">
        <v>617</v>
      </c>
      <c r="C281" s="3">
        <v>1</v>
      </c>
      <c r="D281" s="3" t="str">
        <f>"02/03/2026"</f>
        <v>02/03/2026</v>
      </c>
      <c r="E281" s="4" t="s">
        <v>618</v>
      </c>
    </row>
    <row r="282" spans="1:5" x14ac:dyDescent="0.25">
      <c r="A282" s="3">
        <v>281</v>
      </c>
      <c r="B282" s="3" t="s">
        <v>619</v>
      </c>
      <c r="C282" s="3">
        <v>9</v>
      </c>
      <c r="D282" s="3" t="str">
        <f>"02/03/2026"</f>
        <v>02/03/2026</v>
      </c>
      <c r="E282" s="4" t="s">
        <v>620</v>
      </c>
    </row>
    <row r="283" spans="1:5" x14ac:dyDescent="0.25">
      <c r="A283" s="3">
        <v>282</v>
      </c>
      <c r="B283" s="3" t="s">
        <v>621</v>
      </c>
      <c r="C283" s="3">
        <v>1</v>
      </c>
      <c r="D283" s="3" t="str">
        <f>"02/03/2026"</f>
        <v>02/03/2026</v>
      </c>
      <c r="E283" s="4" t="s">
        <v>622</v>
      </c>
    </row>
    <row r="284" spans="1:5" x14ac:dyDescent="0.25">
      <c r="A284" s="3">
        <v>283</v>
      </c>
      <c r="B284" s="3" t="s">
        <v>623</v>
      </c>
      <c r="C284" s="3">
        <v>6</v>
      </c>
      <c r="D284" s="3" t="str">
        <f>"02/03/2026"</f>
        <v>02/03/2026</v>
      </c>
      <c r="E284" s="4" t="s">
        <v>624</v>
      </c>
    </row>
    <row r="285" spans="1:5" x14ac:dyDescent="0.25">
      <c r="A285" s="3">
        <v>284</v>
      </c>
      <c r="B285" s="3" t="s">
        <v>625</v>
      </c>
      <c r="C285" s="3">
        <v>1</v>
      </c>
      <c r="D285" s="3" t="str">
        <f>"02/03/2026"</f>
        <v>02/03/2026</v>
      </c>
      <c r="E285" s="4" t="s">
        <v>626</v>
      </c>
    </row>
    <row r="286" spans="1:5" x14ac:dyDescent="0.25">
      <c r="A286" s="3">
        <v>285</v>
      </c>
      <c r="B286" s="3" t="s">
        <v>627</v>
      </c>
      <c r="C286" s="3"/>
      <c r="D286" s="3" t="str">
        <f>"01/03/2026"</f>
        <v>01/03/2026</v>
      </c>
      <c r="E286" s="4" t="s">
        <v>628</v>
      </c>
    </row>
    <row r="287" spans="1:5" x14ac:dyDescent="0.25">
      <c r="A287" s="3">
        <v>286</v>
      </c>
      <c r="B287" s="3" t="s">
        <v>629</v>
      </c>
      <c r="C287" s="3"/>
      <c r="D287" s="3" t="str">
        <f>"01/03/2026"</f>
        <v>01/03/2026</v>
      </c>
      <c r="E287" s="4" t="s">
        <v>630</v>
      </c>
    </row>
    <row r="288" spans="1:5" x14ac:dyDescent="0.25">
      <c r="A288" s="3">
        <v>287</v>
      </c>
      <c r="B288" s="3" t="s">
        <v>631</v>
      </c>
      <c r="C288" s="3"/>
      <c r="D288" s="3" t="str">
        <f>"01/03/2026"</f>
        <v>01/03/2026</v>
      </c>
      <c r="E288" s="4" t="s">
        <v>632</v>
      </c>
    </row>
    <row r="289" spans="1:5" x14ac:dyDescent="0.25">
      <c r="A289" s="3">
        <v>288</v>
      </c>
      <c r="B289" s="3" t="s">
        <v>633</v>
      </c>
      <c r="C289" s="3"/>
      <c r="D289" s="3" t="str">
        <f>"28/02/2026"</f>
        <v>28/02/2026</v>
      </c>
      <c r="E289" s="4" t="s">
        <v>634</v>
      </c>
    </row>
    <row r="290" spans="1:5" x14ac:dyDescent="0.25">
      <c r="A290" s="3">
        <v>289</v>
      </c>
      <c r="B290" s="3" t="s">
        <v>635</v>
      </c>
      <c r="C290" s="3"/>
      <c r="D290" s="3" t="str">
        <f>"27/02/2026"</f>
        <v>27/02/2026</v>
      </c>
      <c r="E290" s="4" t="s">
        <v>636</v>
      </c>
    </row>
    <row r="291" spans="1:5" x14ac:dyDescent="0.25">
      <c r="A291" s="3">
        <v>290</v>
      </c>
      <c r="B291" s="3" t="s">
        <v>637</v>
      </c>
      <c r="C291" s="3"/>
      <c r="D291" s="3" t="str">
        <f>"27/02/2026"</f>
        <v>27/02/2026</v>
      </c>
      <c r="E291" s="4" t="s">
        <v>638</v>
      </c>
    </row>
    <row r="292" spans="1:5" x14ac:dyDescent="0.25">
      <c r="A292" s="3">
        <v>291</v>
      </c>
      <c r="B292" s="3" t="s">
        <v>639</v>
      </c>
      <c r="C292" s="3"/>
      <c r="D292" s="3" t="str">
        <f>"27/02/2026"</f>
        <v>27/02/2026</v>
      </c>
      <c r="E292" s="4" t="s">
        <v>640</v>
      </c>
    </row>
    <row r="293" spans="1:5" x14ac:dyDescent="0.25">
      <c r="A293" s="3">
        <v>292</v>
      </c>
      <c r="B293" s="3" t="s">
        <v>641</v>
      </c>
      <c r="C293" s="3"/>
      <c r="D293" s="3" t="str">
        <f>"27/02/2026"</f>
        <v>27/02/2026</v>
      </c>
      <c r="E293" s="4" t="s">
        <v>642</v>
      </c>
    </row>
    <row r="294" spans="1:5" x14ac:dyDescent="0.25">
      <c r="A294" s="3">
        <v>293</v>
      </c>
      <c r="B294" s="3" t="s">
        <v>643</v>
      </c>
      <c r="C294" s="3">
        <v>1</v>
      </c>
      <c r="D294" s="3" t="str">
        <f>"26/02/2026"</f>
        <v>26/02/2026</v>
      </c>
      <c r="E294" s="4" t="s">
        <v>644</v>
      </c>
    </row>
    <row r="295" spans="1:5" x14ac:dyDescent="0.25">
      <c r="A295" s="3">
        <v>294</v>
      </c>
      <c r="B295" s="3" t="s">
        <v>645</v>
      </c>
      <c r="C295" s="3"/>
      <c r="D295" s="3" t="str">
        <f>"26/02/2026"</f>
        <v>26/02/2026</v>
      </c>
      <c r="E295" s="4" t="s">
        <v>646</v>
      </c>
    </row>
    <row r="296" spans="1:5" x14ac:dyDescent="0.25">
      <c r="A296" s="3">
        <v>295</v>
      </c>
      <c r="B296" s="3" t="s">
        <v>647</v>
      </c>
      <c r="C296" s="3">
        <v>1</v>
      </c>
      <c r="D296" s="3" t="str">
        <f>"26/02/2026"</f>
        <v>26/02/2026</v>
      </c>
      <c r="E296" s="4" t="s">
        <v>648</v>
      </c>
    </row>
    <row r="297" spans="1:5" x14ac:dyDescent="0.25">
      <c r="A297" s="3">
        <v>296</v>
      </c>
      <c r="B297" s="3" t="s">
        <v>649</v>
      </c>
      <c r="C297" s="3"/>
      <c r="D297" s="3" t="str">
        <f>"26/02/2026"</f>
        <v>26/02/2026</v>
      </c>
      <c r="E297" s="4" t="s">
        <v>650</v>
      </c>
    </row>
    <row r="298" spans="1:5" x14ac:dyDescent="0.25">
      <c r="A298" s="3">
        <v>297</v>
      </c>
      <c r="B298" s="3" t="s">
        <v>651</v>
      </c>
      <c r="C298" s="3"/>
      <c r="D298" s="3" t="str">
        <f>"26/02/2026"</f>
        <v>26/02/2026</v>
      </c>
      <c r="E298" s="4" t="s">
        <v>652</v>
      </c>
    </row>
    <row r="299" spans="1:5" x14ac:dyDescent="0.25">
      <c r="A299" s="3">
        <v>298</v>
      </c>
      <c r="B299" s="3" t="s">
        <v>653</v>
      </c>
      <c r="C299" s="3"/>
      <c r="D299" s="3" t="str">
        <f>"26/02/2026"</f>
        <v>26/02/2026</v>
      </c>
      <c r="E299" s="4" t="s">
        <v>654</v>
      </c>
    </row>
    <row r="300" spans="1:5" x14ac:dyDescent="0.25">
      <c r="A300" s="3">
        <v>299</v>
      </c>
      <c r="B300" s="3" t="s">
        <v>655</v>
      </c>
      <c r="C300" s="3">
        <v>1</v>
      </c>
      <c r="D300" s="3" t="str">
        <f>"25/02/2026"</f>
        <v>25/02/2026</v>
      </c>
      <c r="E300" s="4" t="s">
        <v>656</v>
      </c>
    </row>
    <row r="301" spans="1:5" x14ac:dyDescent="0.25">
      <c r="A301" s="3">
        <v>300</v>
      </c>
      <c r="B301" s="3" t="s">
        <v>657</v>
      </c>
      <c r="C301" s="3">
        <v>1</v>
      </c>
      <c r="D301" s="3" t="str">
        <f>"25/02/2026"</f>
        <v>25/02/2026</v>
      </c>
      <c r="E301" s="4" t="s">
        <v>658</v>
      </c>
    </row>
    <row r="302" spans="1:5" x14ac:dyDescent="0.25">
      <c r="A302" s="3">
        <v>301</v>
      </c>
      <c r="B302" s="3" t="s">
        <v>659</v>
      </c>
      <c r="C302" s="3">
        <v>6</v>
      </c>
      <c r="D302" s="3" t="str">
        <f>"25/02/2026"</f>
        <v>25/02/2026</v>
      </c>
      <c r="E302" s="4" t="s">
        <v>660</v>
      </c>
    </row>
    <row r="303" spans="1:5" x14ac:dyDescent="0.25">
      <c r="A303" s="3">
        <v>302</v>
      </c>
      <c r="B303" s="3" t="s">
        <v>661</v>
      </c>
      <c r="C303" s="3"/>
      <c r="D303" s="3" t="str">
        <f>"25/02/2026"</f>
        <v>25/02/2026</v>
      </c>
      <c r="E303" s="4" t="s">
        <v>662</v>
      </c>
    </row>
    <row r="304" spans="1:5" x14ac:dyDescent="0.25">
      <c r="A304" s="3">
        <v>303</v>
      </c>
      <c r="B304" s="3" t="s">
        <v>663</v>
      </c>
      <c r="C304" s="3">
        <v>9</v>
      </c>
      <c r="D304" s="3" t="str">
        <f>"25/02/2026"</f>
        <v>25/02/2026</v>
      </c>
      <c r="E304" s="4" t="s">
        <v>664</v>
      </c>
    </row>
    <row r="305" spans="1:5" x14ac:dyDescent="0.25">
      <c r="A305" s="3">
        <v>304</v>
      </c>
      <c r="B305" s="3" t="s">
        <v>665</v>
      </c>
      <c r="C305" s="3">
        <v>1</v>
      </c>
      <c r="D305" s="3" t="str">
        <f>"25/02/2026"</f>
        <v>25/02/2026</v>
      </c>
      <c r="E305" s="4" t="s">
        <v>666</v>
      </c>
    </row>
    <row r="306" spans="1:5" x14ac:dyDescent="0.25">
      <c r="A306" s="3">
        <v>305</v>
      </c>
      <c r="B306" s="3" t="s">
        <v>667</v>
      </c>
      <c r="C306" s="3">
        <v>1</v>
      </c>
      <c r="D306" s="3" t="str">
        <f>"25/02/2026"</f>
        <v>25/02/2026</v>
      </c>
      <c r="E306" s="4" t="s">
        <v>668</v>
      </c>
    </row>
    <row r="307" spans="1:5" x14ac:dyDescent="0.25">
      <c r="A307" s="3">
        <v>306</v>
      </c>
      <c r="B307" s="3" t="s">
        <v>669</v>
      </c>
      <c r="C307" s="3"/>
      <c r="D307" s="3" t="str">
        <f>"24/02/2026"</f>
        <v>24/02/2026</v>
      </c>
      <c r="E307" s="4" t="s">
        <v>670</v>
      </c>
    </row>
    <row r="308" spans="1:5" x14ac:dyDescent="0.25">
      <c r="A308" s="3">
        <v>307</v>
      </c>
      <c r="B308" s="3" t="s">
        <v>671</v>
      </c>
      <c r="C308" s="3">
        <v>6</v>
      </c>
      <c r="D308" s="3" t="str">
        <f>"24/02/2026"</f>
        <v>24/02/2026</v>
      </c>
      <c r="E308" s="4" t="s">
        <v>672</v>
      </c>
    </row>
    <row r="309" spans="1:5" x14ac:dyDescent="0.25">
      <c r="A309" s="3">
        <v>308</v>
      </c>
      <c r="B309" s="3" t="s">
        <v>673</v>
      </c>
      <c r="C309" s="3">
        <v>6</v>
      </c>
      <c r="D309" s="3" t="str">
        <f>"24/02/2026"</f>
        <v>24/02/2026</v>
      </c>
      <c r="E309" s="4" t="s">
        <v>674</v>
      </c>
    </row>
    <row r="310" spans="1:5" x14ac:dyDescent="0.25">
      <c r="A310" s="3">
        <v>309</v>
      </c>
      <c r="B310" s="3" t="s">
        <v>675</v>
      </c>
      <c r="C310" s="3"/>
      <c r="D310" s="3" t="str">
        <f>"24/02/2026"</f>
        <v>24/02/2026</v>
      </c>
      <c r="E310" s="4" t="s">
        <v>676</v>
      </c>
    </row>
    <row r="311" spans="1:5" x14ac:dyDescent="0.25">
      <c r="A311" s="3">
        <v>310</v>
      </c>
      <c r="B311" s="3" t="s">
        <v>677</v>
      </c>
      <c r="C311" s="3">
        <v>1</v>
      </c>
      <c r="D311" s="3" t="str">
        <f>"24/02/2026"</f>
        <v>24/02/2026</v>
      </c>
      <c r="E311" s="4" t="s">
        <v>678</v>
      </c>
    </row>
    <row r="312" spans="1:5" x14ac:dyDescent="0.25">
      <c r="A312" s="3">
        <v>311</v>
      </c>
      <c r="B312" s="3" t="s">
        <v>679</v>
      </c>
      <c r="C312" s="3"/>
      <c r="D312" s="3" t="str">
        <f>"24/02/2026"</f>
        <v>24/02/2026</v>
      </c>
      <c r="E312" s="4" t="s">
        <v>680</v>
      </c>
    </row>
    <row r="313" spans="1:5" x14ac:dyDescent="0.25">
      <c r="A313" s="3">
        <v>312</v>
      </c>
      <c r="B313" s="3" t="s">
        <v>681</v>
      </c>
      <c r="C313" s="3">
        <v>10</v>
      </c>
      <c r="D313" s="3" t="str">
        <f>"24/02/2026"</f>
        <v>24/02/2026</v>
      </c>
      <c r="E313" s="4" t="s">
        <v>682</v>
      </c>
    </row>
    <row r="314" spans="1:5" x14ac:dyDescent="0.25">
      <c r="A314" s="3">
        <v>313</v>
      </c>
      <c r="B314" s="3" t="s">
        <v>683</v>
      </c>
      <c r="C314" s="3"/>
      <c r="D314" s="3" t="str">
        <f>"24/02/2026"</f>
        <v>24/02/2026</v>
      </c>
      <c r="E314" s="4" t="s">
        <v>684</v>
      </c>
    </row>
    <row r="315" spans="1:5" x14ac:dyDescent="0.25">
      <c r="A315" s="3">
        <v>314</v>
      </c>
      <c r="B315" s="3" t="s">
        <v>685</v>
      </c>
      <c r="C315" s="3">
        <v>1</v>
      </c>
      <c r="D315" s="3" t="str">
        <f>"23/02/2026"</f>
        <v>23/02/2026</v>
      </c>
      <c r="E315" s="4" t="s">
        <v>686</v>
      </c>
    </row>
    <row r="316" spans="1:5" x14ac:dyDescent="0.25">
      <c r="A316" s="3">
        <v>315</v>
      </c>
      <c r="B316" s="3" t="s">
        <v>687</v>
      </c>
      <c r="C316" s="3">
        <v>1</v>
      </c>
      <c r="D316" s="3" t="str">
        <f>"23/02/2026"</f>
        <v>23/02/2026</v>
      </c>
      <c r="E316" s="4" t="s">
        <v>688</v>
      </c>
    </row>
    <row r="317" spans="1:5" x14ac:dyDescent="0.25">
      <c r="A317" s="3">
        <v>316</v>
      </c>
      <c r="B317" s="3" t="s">
        <v>689</v>
      </c>
      <c r="C317" s="3">
        <v>1</v>
      </c>
      <c r="D317" s="3" t="str">
        <f>"23/02/2026"</f>
        <v>23/02/2026</v>
      </c>
      <c r="E317" s="4" t="s">
        <v>690</v>
      </c>
    </row>
    <row r="318" spans="1:5" x14ac:dyDescent="0.25">
      <c r="A318" s="3">
        <v>317</v>
      </c>
      <c r="B318" s="3" t="s">
        <v>691</v>
      </c>
      <c r="C318" s="3"/>
      <c r="D318" s="3" t="str">
        <f>"23/02/2026"</f>
        <v>23/02/2026</v>
      </c>
      <c r="E318" s="4" t="s">
        <v>692</v>
      </c>
    </row>
    <row r="319" spans="1:5" x14ac:dyDescent="0.25">
      <c r="A319" s="3">
        <v>318</v>
      </c>
      <c r="B319" s="3" t="s">
        <v>693</v>
      </c>
      <c r="C319" s="3"/>
      <c r="D319" s="3" t="str">
        <f>"21/02/2026"</f>
        <v>21/02/2026</v>
      </c>
      <c r="E319" s="4" t="s">
        <v>694</v>
      </c>
    </row>
    <row r="320" spans="1:5" x14ac:dyDescent="0.25">
      <c r="A320" s="3">
        <v>319</v>
      </c>
      <c r="B320" s="3" t="s">
        <v>695</v>
      </c>
      <c r="C320" s="3"/>
      <c r="D320" s="3" t="str">
        <f>"21/02/2026"</f>
        <v>21/02/2026</v>
      </c>
      <c r="E320" s="4" t="s">
        <v>696</v>
      </c>
    </row>
    <row r="321" spans="1:5" x14ac:dyDescent="0.25">
      <c r="A321" s="3">
        <v>320</v>
      </c>
      <c r="B321" s="3" t="s">
        <v>697</v>
      </c>
      <c r="C321" s="3"/>
      <c r="D321" s="3" t="str">
        <f>"20/02/2026"</f>
        <v>20/02/2026</v>
      </c>
      <c r="E321" s="4" t="s">
        <v>698</v>
      </c>
    </row>
    <row r="322" spans="1:5" x14ac:dyDescent="0.25">
      <c r="A322" s="3">
        <v>321</v>
      </c>
      <c r="B322" s="3" t="s">
        <v>699</v>
      </c>
      <c r="C322" s="3">
        <v>6</v>
      </c>
      <c r="D322" s="3" t="str">
        <f>"20/02/2026"</f>
        <v>20/02/2026</v>
      </c>
      <c r="E322" s="4" t="s">
        <v>700</v>
      </c>
    </row>
    <row r="323" spans="1:5" x14ac:dyDescent="0.25">
      <c r="A323" s="3">
        <v>322</v>
      </c>
      <c r="B323" s="3" t="s">
        <v>701</v>
      </c>
      <c r="C323" s="3">
        <v>6</v>
      </c>
      <c r="D323" s="3" t="str">
        <f>"20/02/2026"</f>
        <v>20/02/2026</v>
      </c>
      <c r="E323" s="4" t="s">
        <v>702</v>
      </c>
    </row>
    <row r="324" spans="1:5" x14ac:dyDescent="0.25">
      <c r="A324" s="3">
        <v>323</v>
      </c>
      <c r="B324" s="3" t="s">
        <v>703</v>
      </c>
      <c r="C324" s="3">
        <v>6</v>
      </c>
      <c r="D324" s="3" t="str">
        <f>"20/02/2026"</f>
        <v>20/02/2026</v>
      </c>
      <c r="E324" s="4" t="s">
        <v>704</v>
      </c>
    </row>
    <row r="325" spans="1:5" x14ac:dyDescent="0.25">
      <c r="A325" s="3">
        <v>324</v>
      </c>
      <c r="B325" s="3" t="s">
        <v>705</v>
      </c>
      <c r="C325" s="3">
        <v>1</v>
      </c>
      <c r="D325" s="3" t="str">
        <f>"20/02/2026"</f>
        <v>20/02/2026</v>
      </c>
      <c r="E325" s="4" t="s">
        <v>706</v>
      </c>
    </row>
    <row r="326" spans="1:5" x14ac:dyDescent="0.25">
      <c r="A326" s="3">
        <v>325</v>
      </c>
      <c r="B326" s="3" t="s">
        <v>707</v>
      </c>
      <c r="C326" s="3">
        <v>6</v>
      </c>
      <c r="D326" s="3" t="str">
        <f>"19/02/2026"</f>
        <v>19/02/2026</v>
      </c>
      <c r="E326" s="4" t="s">
        <v>708</v>
      </c>
    </row>
    <row r="327" spans="1:5" x14ac:dyDescent="0.25">
      <c r="A327" s="3">
        <v>326</v>
      </c>
      <c r="B327" s="3" t="s">
        <v>709</v>
      </c>
      <c r="C327" s="3">
        <v>6</v>
      </c>
      <c r="D327" s="3" t="str">
        <f>"19/02/2026"</f>
        <v>19/02/2026</v>
      </c>
      <c r="E327" s="4" t="s">
        <v>710</v>
      </c>
    </row>
    <row r="328" spans="1:5" x14ac:dyDescent="0.25">
      <c r="A328" s="3">
        <v>327</v>
      </c>
      <c r="B328" s="3" t="s">
        <v>711</v>
      </c>
      <c r="C328" s="3">
        <v>6</v>
      </c>
      <c r="D328" s="3" t="str">
        <f>"19/02/2026"</f>
        <v>19/02/2026</v>
      </c>
      <c r="E328" s="4" t="s">
        <v>712</v>
      </c>
    </row>
    <row r="329" spans="1:5" x14ac:dyDescent="0.25">
      <c r="A329" s="3">
        <v>328</v>
      </c>
      <c r="B329" s="3" t="s">
        <v>713</v>
      </c>
      <c r="C329" s="3">
        <v>6</v>
      </c>
      <c r="D329" s="3" t="str">
        <f>"19/02/2026"</f>
        <v>19/02/2026</v>
      </c>
      <c r="E329" s="4" t="s">
        <v>714</v>
      </c>
    </row>
    <row r="330" spans="1:5" x14ac:dyDescent="0.25">
      <c r="A330" s="3">
        <v>329</v>
      </c>
      <c r="B330" s="3" t="s">
        <v>715</v>
      </c>
      <c r="C330" s="3"/>
      <c r="D330" s="3" t="str">
        <f>"19/02/2026"</f>
        <v>19/02/2026</v>
      </c>
      <c r="E330" s="4" t="s">
        <v>716</v>
      </c>
    </row>
    <row r="331" spans="1:5" x14ac:dyDescent="0.25">
      <c r="A331" s="3">
        <v>330</v>
      </c>
      <c r="B331" s="3" t="s">
        <v>717</v>
      </c>
      <c r="C331" s="3"/>
      <c r="D331" s="3" t="str">
        <f>"19/02/2026"</f>
        <v>19/02/2026</v>
      </c>
      <c r="E331" s="4" t="s">
        <v>718</v>
      </c>
    </row>
    <row r="332" spans="1:5" x14ac:dyDescent="0.25">
      <c r="A332" s="3">
        <v>331</v>
      </c>
      <c r="B332" s="3" t="s">
        <v>719</v>
      </c>
      <c r="C332" s="3"/>
      <c r="D332" s="3" t="str">
        <f>"19/02/2026"</f>
        <v>19/02/2026</v>
      </c>
      <c r="E332" s="4" t="s">
        <v>720</v>
      </c>
    </row>
    <row r="333" spans="1:5" x14ac:dyDescent="0.25">
      <c r="A333" s="3">
        <v>332</v>
      </c>
      <c r="B333" s="3" t="s">
        <v>721</v>
      </c>
      <c r="C333" s="3">
        <v>1</v>
      </c>
      <c r="D333" s="3" t="str">
        <f>"19/02/2026"</f>
        <v>19/02/2026</v>
      </c>
      <c r="E333" s="4" t="s">
        <v>722</v>
      </c>
    </row>
    <row r="334" spans="1:5" x14ac:dyDescent="0.25">
      <c r="A334" s="3">
        <v>333</v>
      </c>
      <c r="B334" s="3" t="s">
        <v>723</v>
      </c>
      <c r="C334" s="3">
        <v>1</v>
      </c>
      <c r="D334" s="3" t="str">
        <f>"19/02/2026"</f>
        <v>19/02/2026</v>
      </c>
      <c r="E334" s="4" t="s">
        <v>724</v>
      </c>
    </row>
    <row r="335" spans="1:5" x14ac:dyDescent="0.25">
      <c r="A335" s="3">
        <v>334</v>
      </c>
      <c r="B335" s="3" t="s">
        <v>725</v>
      </c>
      <c r="C335" s="3"/>
      <c r="D335" s="3" t="str">
        <f>"19/02/2026"</f>
        <v>19/02/2026</v>
      </c>
      <c r="E335" s="4" t="s">
        <v>726</v>
      </c>
    </row>
    <row r="336" spans="1:5" x14ac:dyDescent="0.25">
      <c r="A336" s="3">
        <v>335</v>
      </c>
      <c r="B336" s="3" t="s">
        <v>727</v>
      </c>
      <c r="C336" s="3"/>
      <c r="D336" s="3" t="str">
        <f>"18/02/2026"</f>
        <v>18/02/2026</v>
      </c>
      <c r="E336" s="4" t="s">
        <v>728</v>
      </c>
    </row>
    <row r="337" spans="1:5" x14ac:dyDescent="0.25">
      <c r="A337" s="3">
        <v>336</v>
      </c>
      <c r="B337" s="3" t="s">
        <v>729</v>
      </c>
      <c r="C337" s="3">
        <v>1</v>
      </c>
      <c r="D337" s="3" t="str">
        <f>"18/02/2026"</f>
        <v>18/02/2026</v>
      </c>
      <c r="E337" s="4" t="s">
        <v>730</v>
      </c>
    </row>
    <row r="338" spans="1:5" x14ac:dyDescent="0.25">
      <c r="A338" s="3">
        <v>337</v>
      </c>
      <c r="B338" s="3" t="s">
        <v>731</v>
      </c>
      <c r="C338" s="3">
        <v>6</v>
      </c>
      <c r="D338" s="3" t="str">
        <f>"18/02/2026"</f>
        <v>18/02/2026</v>
      </c>
      <c r="E338" s="4" t="s">
        <v>732</v>
      </c>
    </row>
    <row r="339" spans="1:5" x14ac:dyDescent="0.25">
      <c r="A339" s="3">
        <v>338</v>
      </c>
      <c r="B339" s="3" t="s">
        <v>733</v>
      </c>
      <c r="C339" s="3"/>
      <c r="D339" s="3" t="str">
        <f>"18/02/2026"</f>
        <v>18/02/2026</v>
      </c>
      <c r="E339" s="4" t="s">
        <v>734</v>
      </c>
    </row>
    <row r="340" spans="1:5" x14ac:dyDescent="0.25">
      <c r="A340" s="3">
        <v>339</v>
      </c>
      <c r="B340" s="3" t="s">
        <v>735</v>
      </c>
      <c r="C340" s="3"/>
      <c r="D340" s="3" t="str">
        <f>"18/02/2026"</f>
        <v>18/02/2026</v>
      </c>
      <c r="E340" s="4" t="s">
        <v>736</v>
      </c>
    </row>
    <row r="341" spans="1:5" x14ac:dyDescent="0.25">
      <c r="A341" s="3">
        <v>340</v>
      </c>
      <c r="B341" s="3" t="s">
        <v>737</v>
      </c>
      <c r="C341" s="3"/>
      <c r="D341" s="3" t="str">
        <f>"01/03/2026"</f>
        <v>01/03/2026</v>
      </c>
      <c r="E341" s="4" t="s">
        <v>738</v>
      </c>
    </row>
    <row r="342" spans="1:5" x14ac:dyDescent="0.25">
      <c r="A342" s="3">
        <v>341</v>
      </c>
      <c r="B342" s="3" t="s">
        <v>739</v>
      </c>
      <c r="C342" s="3"/>
      <c r="D342" s="3" t="str">
        <f>"24/02/2026"</f>
        <v>24/02/2026</v>
      </c>
      <c r="E342" s="4" t="s">
        <v>740</v>
      </c>
    </row>
    <row r="343" spans="1:5" x14ac:dyDescent="0.25">
      <c r="A343" s="3">
        <v>342</v>
      </c>
      <c r="B343" s="3" t="s">
        <v>741</v>
      </c>
      <c r="C343" s="3"/>
      <c r="D343" s="3" t="str">
        <f>"24/02/2026"</f>
        <v>24/02/2026</v>
      </c>
      <c r="E343" s="4" t="s">
        <v>742</v>
      </c>
    </row>
    <row r="344" spans="1:5" x14ac:dyDescent="0.25">
      <c r="A344" s="3">
        <v>343</v>
      </c>
      <c r="B344" s="3" t="s">
        <v>743</v>
      </c>
      <c r="C344" s="3"/>
      <c r="D344" s="3" t="str">
        <f>"21/02/2026"</f>
        <v>21/02/2026</v>
      </c>
      <c r="E344" s="4" t="s">
        <v>744</v>
      </c>
    </row>
    <row r="345" spans="1:5" x14ac:dyDescent="0.25">
      <c r="A345" s="3">
        <v>344</v>
      </c>
      <c r="B345" s="3" t="s">
        <v>745</v>
      </c>
      <c r="C345" s="3">
        <v>10</v>
      </c>
      <c r="D345" s="3" t="str">
        <f>"17/02/2026"</f>
        <v>17/02/2026</v>
      </c>
      <c r="E345" s="4" t="s">
        <v>746</v>
      </c>
    </row>
    <row r="346" spans="1:5" x14ac:dyDescent="0.25">
      <c r="A346" s="3">
        <v>345</v>
      </c>
      <c r="B346" s="3" t="s">
        <v>747</v>
      </c>
      <c r="C346" s="3"/>
      <c r="D346" s="3" t="str">
        <f>"17/02/2026"</f>
        <v>17/02/2026</v>
      </c>
      <c r="E346" s="4" t="s">
        <v>748</v>
      </c>
    </row>
    <row r="347" spans="1:5" x14ac:dyDescent="0.25">
      <c r="A347" s="3">
        <v>346</v>
      </c>
      <c r="B347" s="3" t="s">
        <v>749</v>
      </c>
      <c r="C347" s="3"/>
      <c r="D347" s="3" t="str">
        <f>"15/02/2026"</f>
        <v>15/02/2026</v>
      </c>
      <c r="E347" s="4" t="s">
        <v>750</v>
      </c>
    </row>
    <row r="348" spans="1:5" x14ac:dyDescent="0.25">
      <c r="A348" s="3">
        <v>347</v>
      </c>
      <c r="B348" s="3" t="s">
        <v>751</v>
      </c>
      <c r="C348" s="3">
        <v>10</v>
      </c>
      <c r="D348" s="3" t="str">
        <f>"09/02/2026"</f>
        <v>09/02/2026</v>
      </c>
      <c r="E348" s="4" t="s">
        <v>752</v>
      </c>
    </row>
    <row r="349" spans="1:5" x14ac:dyDescent="0.25">
      <c r="A349" s="3">
        <v>348</v>
      </c>
      <c r="B349" s="3" t="s">
        <v>753</v>
      </c>
      <c r="C349" s="3"/>
      <c r="D349" s="3" t="str">
        <f>"05/02/2026"</f>
        <v>05/02/2026</v>
      </c>
      <c r="E349" s="4" t="s">
        <v>754</v>
      </c>
    </row>
    <row r="350" spans="1:5" x14ac:dyDescent="0.25">
      <c r="A350" s="3">
        <v>349</v>
      </c>
      <c r="B350" s="3" t="s">
        <v>755</v>
      </c>
      <c r="C350" s="3"/>
      <c r="D350" s="3" t="str">
        <f>"05/02/2026"</f>
        <v>05/02/2026</v>
      </c>
      <c r="E350" s="4" t="s">
        <v>756</v>
      </c>
    </row>
    <row r="351" spans="1:5" x14ac:dyDescent="0.25">
      <c r="A351" s="3">
        <v>350</v>
      </c>
      <c r="B351" s="3" t="s">
        <v>757</v>
      </c>
      <c r="C351" s="3">
        <v>10</v>
      </c>
      <c r="D351" s="3" t="str">
        <f>"28/01/2026"</f>
        <v>28/01/2026</v>
      </c>
      <c r="E351" s="4" t="s">
        <v>758</v>
      </c>
    </row>
    <row r="352" spans="1:5" x14ac:dyDescent="0.25">
      <c r="A352" s="3">
        <v>351</v>
      </c>
      <c r="B352" s="3" t="s">
        <v>759</v>
      </c>
      <c r="C352" s="3"/>
      <c r="D352" s="3" t="str">
        <f>"24/01/2026"</f>
        <v>24/01/2026</v>
      </c>
      <c r="E352" s="4" t="s">
        <v>760</v>
      </c>
    </row>
    <row r="353" spans="1:5" x14ac:dyDescent="0.25">
      <c r="A353" s="3">
        <v>352</v>
      </c>
      <c r="B353" s="3" t="s">
        <v>761</v>
      </c>
      <c r="C353" s="3">
        <v>2</v>
      </c>
      <c r="D353" s="3" t="str">
        <f>"24/01/2026"</f>
        <v>24/01/2026</v>
      </c>
      <c r="E353" s="4" t="s">
        <v>762</v>
      </c>
    </row>
    <row r="354" spans="1:5" x14ac:dyDescent="0.25">
      <c r="A354" s="3">
        <v>353</v>
      </c>
      <c r="B354" s="3" t="s">
        <v>763</v>
      </c>
      <c r="C354" s="3">
        <v>10</v>
      </c>
      <c r="D354" s="3" t="str">
        <f>"23/01/2026"</f>
        <v>23/01/2026</v>
      </c>
      <c r="E354" s="4" t="s">
        <v>764</v>
      </c>
    </row>
    <row r="355" spans="1:5" x14ac:dyDescent="0.25">
      <c r="A355" s="3">
        <v>354</v>
      </c>
      <c r="B355" s="3" t="s">
        <v>765</v>
      </c>
      <c r="C355" s="3"/>
      <c r="D355" s="3" t="str">
        <f>"23/01/2026"</f>
        <v>23/01/2026</v>
      </c>
      <c r="E355" s="4" t="s">
        <v>766</v>
      </c>
    </row>
    <row r="356" spans="1:5" x14ac:dyDescent="0.25">
      <c r="A356" s="3">
        <v>355</v>
      </c>
      <c r="B356" s="3" t="s">
        <v>767</v>
      </c>
      <c r="C356" s="3"/>
      <c r="D356" s="3" t="str">
        <f>"17/01/2026"</f>
        <v>17/01/2026</v>
      </c>
      <c r="E356" s="4" t="s">
        <v>768</v>
      </c>
    </row>
    <row r="357" spans="1:5" x14ac:dyDescent="0.25">
      <c r="A357" s="3">
        <v>356</v>
      </c>
      <c r="B357" s="3" t="s">
        <v>769</v>
      </c>
      <c r="C357" s="3"/>
      <c r="D357" s="3" t="str">
        <f>"12/01/2026"</f>
        <v>12/01/2026</v>
      </c>
      <c r="E357" s="4" t="s">
        <v>770</v>
      </c>
    </row>
    <row r="358" spans="1:5" x14ac:dyDescent="0.25">
      <c r="A358" s="3">
        <v>357</v>
      </c>
      <c r="B358" s="3" t="s">
        <v>771</v>
      </c>
      <c r="C358" s="3"/>
      <c r="D358" s="3" t="str">
        <f>"10/01/2026"</f>
        <v>10/01/2026</v>
      </c>
      <c r="E358" s="4" t="s">
        <v>772</v>
      </c>
    </row>
    <row r="359" spans="1:5" x14ac:dyDescent="0.25">
      <c r="A359" s="3">
        <v>358</v>
      </c>
      <c r="B359" s="3" t="s">
        <v>773</v>
      </c>
      <c r="C359" s="3"/>
      <c r="D359" s="3" t="str">
        <f>"06/01/2026"</f>
        <v>06/01/2026</v>
      </c>
      <c r="E359" s="4" t="s">
        <v>774</v>
      </c>
    </row>
    <row r="360" spans="1:5" x14ac:dyDescent="0.25">
      <c r="A360" s="3">
        <v>359</v>
      </c>
      <c r="B360" s="3" t="s">
        <v>775</v>
      </c>
      <c r="C360" s="3">
        <v>2</v>
      </c>
      <c r="D360" s="3" t="str">
        <f>"06/01/2026"</f>
        <v>06/01/2026</v>
      </c>
      <c r="E360" s="4" t="s">
        <v>776</v>
      </c>
    </row>
    <row r="361" spans="1:5" x14ac:dyDescent="0.25">
      <c r="A361" s="3">
        <v>360</v>
      </c>
      <c r="B361" s="3" t="s">
        <v>777</v>
      </c>
      <c r="C361" s="3"/>
      <c r="D361" s="3" t="str">
        <f>"03/01/2026"</f>
        <v>03/01/2026</v>
      </c>
      <c r="E361" s="4" t="s">
        <v>778</v>
      </c>
    </row>
    <row r="362" spans="1:5" x14ac:dyDescent="0.25">
      <c r="A362" s="3">
        <v>361</v>
      </c>
      <c r="B362" s="3" t="s">
        <v>779</v>
      </c>
      <c r="C362" s="3"/>
      <c r="D362" s="3" t="str">
        <f>"02/01/2026"</f>
        <v>02/01/2026</v>
      </c>
      <c r="E362" s="4" t="s">
        <v>780</v>
      </c>
    </row>
    <row r="363" spans="1:5" x14ac:dyDescent="0.25">
      <c r="A363" s="3">
        <v>362</v>
      </c>
      <c r="B363" s="3" t="s">
        <v>781</v>
      </c>
      <c r="C363" s="3"/>
      <c r="D363" s="3" t="str">
        <f>"26/12/2025"</f>
        <v>26/12/2025</v>
      </c>
      <c r="E363" s="4" t="s">
        <v>782</v>
      </c>
    </row>
    <row r="364" spans="1:5" x14ac:dyDescent="0.25">
      <c r="A364" s="3">
        <v>363</v>
      </c>
      <c r="B364" s="3" t="s">
        <v>783</v>
      </c>
      <c r="C364" s="3"/>
      <c r="D364" s="3" t="str">
        <f>"24/12/2025"</f>
        <v>24/12/2025</v>
      </c>
      <c r="E364" s="4" t="s">
        <v>784</v>
      </c>
    </row>
    <row r="365" spans="1:5" x14ac:dyDescent="0.25">
      <c r="A365" s="3">
        <v>364</v>
      </c>
      <c r="B365" s="3" t="s">
        <v>785</v>
      </c>
      <c r="C365" s="3"/>
      <c r="D365" s="3" t="str">
        <f>"13/12/2025"</f>
        <v>13/12/2025</v>
      </c>
      <c r="E365" s="4" t="s">
        <v>786</v>
      </c>
    </row>
    <row r="366" spans="1:5" x14ac:dyDescent="0.25">
      <c r="A366" s="3">
        <v>365</v>
      </c>
      <c r="B366" s="3" t="s">
        <v>787</v>
      </c>
      <c r="C366" s="3"/>
      <c r="D366" s="3" t="str">
        <f>"13/12/2025"</f>
        <v>13/12/2025</v>
      </c>
      <c r="E366" s="4" t="s">
        <v>788</v>
      </c>
    </row>
    <row r="367" spans="1:5" x14ac:dyDescent="0.25">
      <c r="A367" s="3">
        <v>366</v>
      </c>
      <c r="B367" s="3" t="s">
        <v>789</v>
      </c>
      <c r="C367" s="3"/>
      <c r="D367" s="3" t="str">
        <f>"12/12/2025"</f>
        <v>12/12/2025</v>
      </c>
      <c r="E367" s="4" t="s">
        <v>790</v>
      </c>
    </row>
    <row r="368" spans="1:5" x14ac:dyDescent="0.25">
      <c r="A368" s="3">
        <v>367</v>
      </c>
      <c r="B368" s="3" t="s">
        <v>791</v>
      </c>
      <c r="C368" s="3">
        <v>2</v>
      </c>
      <c r="D368" s="3" t="str">
        <f>"10/12/2025"</f>
        <v>10/12/2025</v>
      </c>
      <c r="E368" s="4" t="s">
        <v>792</v>
      </c>
    </row>
    <row r="369" spans="1:5" x14ac:dyDescent="0.25">
      <c r="A369" s="3">
        <v>368</v>
      </c>
      <c r="B369" s="3" t="s">
        <v>793</v>
      </c>
      <c r="C369" s="3"/>
      <c r="D369" s="3" t="str">
        <f>"09/12/2025"</f>
        <v>09/12/2025</v>
      </c>
      <c r="E369" s="4" t="s">
        <v>794</v>
      </c>
    </row>
    <row r="370" spans="1:5" x14ac:dyDescent="0.25">
      <c r="A370" s="3">
        <v>369</v>
      </c>
      <c r="B370" s="3" t="s">
        <v>795</v>
      </c>
      <c r="C370" s="3"/>
      <c r="D370" s="3" t="str">
        <f>"08/12/2025"</f>
        <v>08/12/2025</v>
      </c>
      <c r="E370" s="4" t="s">
        <v>796</v>
      </c>
    </row>
    <row r="371" spans="1:5" x14ac:dyDescent="0.25">
      <c r="A371" s="3">
        <v>370</v>
      </c>
      <c r="B371" s="3" t="s">
        <v>797</v>
      </c>
      <c r="C371" s="3">
        <v>10</v>
      </c>
      <c r="D371" s="3" t="str">
        <f>"07/12/2025"</f>
        <v>07/12/2025</v>
      </c>
      <c r="E371" s="4" t="s">
        <v>798</v>
      </c>
    </row>
    <row r="372" spans="1:5" x14ac:dyDescent="0.25">
      <c r="A372" s="3">
        <v>371</v>
      </c>
      <c r="B372" s="3" t="s">
        <v>64</v>
      </c>
      <c r="C372" s="3"/>
      <c r="D372" s="3" t="str">
        <f>"05/12/2025"</f>
        <v>05/12/2025</v>
      </c>
      <c r="E372" s="4" t="s">
        <v>63</v>
      </c>
    </row>
    <row r="373" spans="1:5" x14ac:dyDescent="0.25">
      <c r="A373" s="3">
        <v>372</v>
      </c>
      <c r="B373" s="3" t="s">
        <v>799</v>
      </c>
      <c r="C373" s="3"/>
      <c r="D373" s="3" t="str">
        <f>"30/11/2025"</f>
        <v>30/11/2025</v>
      </c>
      <c r="E373" s="4" t="s">
        <v>800</v>
      </c>
    </row>
    <row r="374" spans="1:5" x14ac:dyDescent="0.25">
      <c r="A374" s="3">
        <v>373</v>
      </c>
      <c r="B374" s="3" t="s">
        <v>61</v>
      </c>
      <c r="C374" s="3"/>
      <c r="D374" s="3" t="str">
        <f>"28/11/2025"</f>
        <v>28/11/2025</v>
      </c>
      <c r="E374" s="4" t="s">
        <v>62</v>
      </c>
    </row>
    <row r="375" spans="1:5" x14ac:dyDescent="0.25">
      <c r="A375" s="3">
        <v>374</v>
      </c>
      <c r="B375" s="3" t="s">
        <v>59</v>
      </c>
      <c r="C375" s="3"/>
      <c r="D375" s="3" t="str">
        <f>"26/11/2025"</f>
        <v>26/11/2025</v>
      </c>
      <c r="E375" s="4" t="s">
        <v>60</v>
      </c>
    </row>
    <row r="376" spans="1:5" x14ac:dyDescent="0.25">
      <c r="A376" s="3">
        <v>375</v>
      </c>
      <c r="B376" s="3" t="s">
        <v>801</v>
      </c>
      <c r="C376" s="3"/>
      <c r="D376" s="3" t="str">
        <f>"25/11/2025"</f>
        <v>25/11/2025</v>
      </c>
      <c r="E376" s="4" t="s">
        <v>802</v>
      </c>
    </row>
    <row r="377" spans="1:5" x14ac:dyDescent="0.25">
      <c r="A377" s="3">
        <v>376</v>
      </c>
      <c r="B377" s="3" t="s">
        <v>803</v>
      </c>
      <c r="C377" s="3"/>
      <c r="D377" s="3" t="str">
        <f>"24/11/2025"</f>
        <v>24/11/2025</v>
      </c>
      <c r="E377" s="4" t="s">
        <v>804</v>
      </c>
    </row>
    <row r="378" spans="1:5" x14ac:dyDescent="0.25">
      <c r="A378" s="3">
        <v>377</v>
      </c>
      <c r="B378" s="3" t="s">
        <v>805</v>
      </c>
      <c r="C378" s="3"/>
      <c r="D378" s="3" t="str">
        <f>"22/11/2025"</f>
        <v>22/11/2025</v>
      </c>
      <c r="E378" s="4" t="s">
        <v>806</v>
      </c>
    </row>
    <row r="379" spans="1:5" x14ac:dyDescent="0.25">
      <c r="A379" s="3">
        <v>378</v>
      </c>
      <c r="B379" s="3" t="s">
        <v>807</v>
      </c>
      <c r="C379" s="3"/>
      <c r="D379" s="3" t="str">
        <f>"19/11/2025"</f>
        <v>19/11/2025</v>
      </c>
      <c r="E379" s="4" t="s">
        <v>808</v>
      </c>
    </row>
    <row r="380" spans="1:5" x14ac:dyDescent="0.25">
      <c r="A380" s="3">
        <v>379</v>
      </c>
      <c r="B380" s="3" t="s">
        <v>809</v>
      </c>
      <c r="C380" s="3"/>
      <c r="D380" s="3" t="str">
        <f>"19/11/2025"</f>
        <v>19/11/2025</v>
      </c>
      <c r="E380" s="4" t="s">
        <v>810</v>
      </c>
    </row>
    <row r="381" spans="1:5" x14ac:dyDescent="0.25">
      <c r="A381" s="3">
        <v>380</v>
      </c>
      <c r="B381" s="3" t="s">
        <v>811</v>
      </c>
      <c r="C381" s="3"/>
      <c r="D381" s="3" t="str">
        <f>"18/11/2025"</f>
        <v>18/11/2025</v>
      </c>
      <c r="E381" s="4" t="s">
        <v>812</v>
      </c>
    </row>
    <row r="382" spans="1:5" x14ac:dyDescent="0.25">
      <c r="A382" s="3">
        <v>381</v>
      </c>
      <c r="B382" s="3" t="s">
        <v>813</v>
      </c>
      <c r="C382" s="3"/>
      <c r="D382" s="3" t="str">
        <f>"17/11/2025"</f>
        <v>17/11/2025</v>
      </c>
      <c r="E382" s="4" t="s">
        <v>814</v>
      </c>
    </row>
    <row r="383" spans="1:5" x14ac:dyDescent="0.25">
      <c r="A383" s="3">
        <v>382</v>
      </c>
      <c r="B383" s="3" t="s">
        <v>815</v>
      </c>
      <c r="C383" s="3"/>
      <c r="D383" s="3" t="str">
        <f>"17/11/2025"</f>
        <v>17/11/2025</v>
      </c>
      <c r="E383" s="4" t="s">
        <v>816</v>
      </c>
    </row>
    <row r="384" spans="1:5" x14ac:dyDescent="0.25">
      <c r="A384" s="3">
        <v>383</v>
      </c>
      <c r="B384" s="3" t="s">
        <v>57</v>
      </c>
      <c r="C384" s="3">
        <v>2</v>
      </c>
      <c r="D384" s="3" t="str">
        <f>"10/11/2025"</f>
        <v>10/11/2025</v>
      </c>
      <c r="E384" s="4" t="s">
        <v>58</v>
      </c>
    </row>
    <row r="385" spans="1:5" x14ac:dyDescent="0.25">
      <c r="A385" s="3">
        <v>384</v>
      </c>
      <c r="B385" s="3" t="s">
        <v>817</v>
      </c>
      <c r="C385" s="3"/>
      <c r="D385" s="3" t="str">
        <f>"09/11/2025"</f>
        <v>09/11/2025</v>
      </c>
      <c r="E385" s="4" t="s">
        <v>818</v>
      </c>
    </row>
    <row r="386" spans="1:5" x14ac:dyDescent="0.25">
      <c r="A386" s="3">
        <v>385</v>
      </c>
      <c r="B386" s="3" t="s">
        <v>819</v>
      </c>
      <c r="C386" s="3"/>
      <c r="D386" s="3" t="str">
        <f>"08/11/2025"</f>
        <v>08/11/2025</v>
      </c>
      <c r="E386" s="4" t="s">
        <v>820</v>
      </c>
    </row>
    <row r="387" spans="1:5" x14ac:dyDescent="0.25">
      <c r="A387" s="3">
        <v>386</v>
      </c>
      <c r="B387" s="3" t="s">
        <v>821</v>
      </c>
      <c r="C387" s="3"/>
      <c r="D387" s="3" t="str">
        <f>"29/10/2025"</f>
        <v>29/10/2025</v>
      </c>
      <c r="E387" s="4" t="s">
        <v>822</v>
      </c>
    </row>
    <row r="388" spans="1:5" x14ac:dyDescent="0.25">
      <c r="A388" s="3">
        <v>387</v>
      </c>
      <c r="B388" s="3" t="s">
        <v>823</v>
      </c>
      <c r="C388" s="3"/>
      <c r="D388" s="3" t="str">
        <f>"26/10/2025"</f>
        <v>26/10/2025</v>
      </c>
      <c r="E388" s="4" t="s">
        <v>824</v>
      </c>
    </row>
    <row r="389" spans="1:5" x14ac:dyDescent="0.25">
      <c r="A389" s="3">
        <v>388</v>
      </c>
      <c r="B389" s="3" t="s">
        <v>825</v>
      </c>
      <c r="C389" s="3"/>
      <c r="D389" s="3" t="str">
        <f>"12/05/2025"</f>
        <v>12/05/2025</v>
      </c>
      <c r="E389" s="4" t="s">
        <v>826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8DDD-18B6-425D-8112-5623FD98DDCA}">
  <dimension ref="A1:E3"/>
  <sheetViews>
    <sheetView workbookViewId="0">
      <selection activeCell="E19" sqref="E19"/>
    </sheetView>
  </sheetViews>
  <sheetFormatPr baseColWidth="10" defaultRowHeight="15" x14ac:dyDescent="0.25"/>
  <sheetData>
    <row r="1" spans="1:5" x14ac:dyDescent="0.25">
      <c r="A1" t="s">
        <v>13</v>
      </c>
      <c r="B1" t="s">
        <v>14</v>
      </c>
      <c r="C1" t="s">
        <v>15</v>
      </c>
      <c r="D1" t="s">
        <v>4</v>
      </c>
      <c r="E1" t="s">
        <v>12</v>
      </c>
    </row>
    <row r="2" spans="1:5" x14ac:dyDescent="0.25">
      <c r="A2">
        <v>2</v>
      </c>
      <c r="B2">
        <v>3</v>
      </c>
      <c r="C2" t="s">
        <v>32</v>
      </c>
      <c r="E2" t="s">
        <v>45</v>
      </c>
    </row>
    <row r="3" spans="1:5" x14ac:dyDescent="0.25">
      <c r="A3">
        <v>1</v>
      </c>
      <c r="B3">
        <v>2</v>
      </c>
      <c r="C3" t="s">
        <v>46</v>
      </c>
      <c r="E3" t="s">
        <v>47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2AA4-318C-40ED-B84F-452F0D926851}">
  <dimension ref="A1:C6"/>
  <sheetViews>
    <sheetView workbookViewId="0">
      <selection activeCell="E12" sqref="E12"/>
    </sheetView>
  </sheetViews>
  <sheetFormatPr baseColWidth="10" defaultRowHeight="15" x14ac:dyDescent="0.25"/>
  <sheetData>
    <row r="1" spans="1:3" x14ac:dyDescent="0.25">
      <c r="A1" t="s">
        <v>27</v>
      </c>
      <c r="B1" t="s">
        <v>28</v>
      </c>
      <c r="C1" t="s">
        <v>15</v>
      </c>
    </row>
    <row r="2" spans="1:3" x14ac:dyDescent="0.25">
      <c r="A2">
        <v>2</v>
      </c>
      <c r="B2">
        <v>9</v>
      </c>
      <c r="C2" s="1" t="s">
        <v>48</v>
      </c>
    </row>
    <row r="3" spans="1:3" x14ac:dyDescent="0.25">
      <c r="B3">
        <v>2</v>
      </c>
    </row>
    <row r="4" spans="1:3" x14ac:dyDescent="0.25">
      <c r="B4">
        <v>3</v>
      </c>
    </row>
    <row r="5" spans="1:3" x14ac:dyDescent="0.25">
      <c r="B5">
        <v>4</v>
      </c>
    </row>
    <row r="6" spans="1:3" x14ac:dyDescent="0.25">
      <c r="B6">
        <v>5</v>
      </c>
    </row>
  </sheetData>
  <hyperlinks>
    <hyperlink ref="C2" r:id="rId1" display="https://www.arretsurimages.net/articles/marie-estelle-dupont-psycho-couacs-a-droite-toute" xr:uid="{8C451636-26B8-4567-AB5B-BCFB8591DB63}"/>
  </hyperlinks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Personnes</vt:lpstr>
      <vt:lpstr>Articles</vt:lpstr>
      <vt:lpstr>Relations</vt:lpstr>
      <vt:lpstr>Debunks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2026-01-24T21:28:58Z</dcterms:created>
  <dcterms:modified xsi:type="dcterms:W3CDTF">2026-03-07T10:48:53Z</dcterms:modified>
</cp:coreProperties>
</file>